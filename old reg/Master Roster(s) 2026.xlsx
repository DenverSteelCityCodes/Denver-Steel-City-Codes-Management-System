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klet Printing Information" sheetId="1" r:id="rId5"/>
    <sheet state="visible" name="W1 Allergies, Learning Disabili" sheetId="2" r:id="rId6"/>
    <sheet state="visible" name="W2 Allergies, Learning Disabili" sheetId="3" r:id="rId7"/>
  </sheets>
  <definedNames/>
  <calcPr/>
</workbook>
</file>

<file path=xl/sharedStrings.xml><?xml version="1.0" encoding="utf-8"?>
<sst xmlns="http://schemas.openxmlformats.org/spreadsheetml/2006/main" count="418" uniqueCount="278">
  <si>
    <t>Denver Steel City Codes 2025 Summer Camp</t>
  </si>
  <si>
    <t>Percent Finished</t>
  </si>
  <si>
    <t>Totals</t>
  </si>
  <si>
    <t>Class</t>
  </si>
  <si>
    <t>Week 1 Students</t>
  </si>
  <si>
    <t>Week 2 Students</t>
  </si>
  <si>
    <t>Teacher Copy</t>
  </si>
  <si>
    <t>Student Extras</t>
  </si>
  <si>
    <t>Total</t>
  </si>
  <si>
    <t>Printed</t>
  </si>
  <si>
    <t>Missing</t>
  </si>
  <si>
    <t>Introduction to Java</t>
  </si>
  <si>
    <t>Introduction to Python</t>
  </si>
  <si>
    <t>Intermediate Java</t>
  </si>
  <si>
    <t>Intermediate Python</t>
  </si>
  <si>
    <t>Introduction to Microcontrollers (Requires Intermediate Python and Rising 7th graders and above)</t>
  </si>
  <si>
    <t>Introduction to Web Development</t>
  </si>
  <si>
    <t>Weekly Totals</t>
  </si>
  <si>
    <t>Calculated Totals From Roster</t>
  </si>
  <si>
    <t>Denver Steel City Codes 2026 Summer Camp</t>
  </si>
  <si>
    <t>Week 1 Participant Allergy, Miscellaneous Information, Learning Disabilities</t>
  </si>
  <si>
    <t>Class &amp; Room</t>
  </si>
  <si>
    <t>Teachers</t>
  </si>
  <si>
    <t>Name</t>
  </si>
  <si>
    <t>Lunch</t>
  </si>
  <si>
    <t>Candy?</t>
  </si>
  <si>
    <t>Allergies</t>
  </si>
  <si>
    <t>Miscellaneous Information</t>
  </si>
  <si>
    <t>Medical Conditions, Learning Disabilities, etc.</t>
  </si>
  <si>
    <t>P1-1 
W301</t>
  </si>
  <si>
    <r>
      <rPr>
        <rFont val="Comic Sans MS"/>
        <color theme="1"/>
        <sz val="12.0"/>
      </rPr>
      <t xml:space="preserve">Aryan </t>
    </r>
    <r>
      <rPr>
        <rFont val="Comic Sans MS"/>
        <color theme="1"/>
        <sz val="10.0"/>
      </rPr>
      <t>(Ah-ree-un)</t>
    </r>
    <r>
      <rPr>
        <rFont val="Comic Sans MS"/>
        <color theme="1"/>
        <sz val="12.0"/>
      </rPr>
      <t xml:space="preserve"> Gupta,  
Ava Marchiel</t>
    </r>
    <r>
      <rPr>
        <rFont val="Comic Sans MS"/>
        <color theme="1"/>
        <sz val="10.0"/>
      </rPr>
      <t xml:space="preserve"> (mar-SHELL)</t>
    </r>
    <r>
      <rPr>
        <rFont val="Comic Sans MS"/>
        <color theme="1"/>
        <sz val="12.0"/>
      </rPr>
      <t xml:space="preserve">,
Caleb Rossi, 
Shirly </t>
    </r>
    <r>
      <rPr>
        <rFont val="Comic Sans MS"/>
        <color theme="1"/>
        <sz val="10.0"/>
      </rPr>
      <t>(Zixuan)</t>
    </r>
    <r>
      <rPr>
        <rFont val="Comic Sans MS"/>
        <color theme="1"/>
        <sz val="12.0"/>
      </rPr>
      <t xml:space="preserve"> Li</t>
    </r>
  </si>
  <si>
    <t>Kianna Maddis</t>
  </si>
  <si>
    <t>Justin Xu</t>
  </si>
  <si>
    <t>Kristen Ayana</t>
  </si>
  <si>
    <t>Kayden Miller</t>
  </si>
  <si>
    <t>Lani Tran</t>
  </si>
  <si>
    <t>Steven Zhang</t>
  </si>
  <si>
    <t>Unaisuddin Muhammad</t>
  </si>
  <si>
    <t>Joshua Yang</t>
  </si>
  <si>
    <t>Khushi Topiwalla</t>
  </si>
  <si>
    <t>Levi Kukatin</t>
  </si>
  <si>
    <t>Finley Schlachtenhaufen</t>
  </si>
  <si>
    <t>Matthew Lu</t>
  </si>
  <si>
    <t>Karthikeya Konka</t>
  </si>
  <si>
    <t>prefers to speak in mandarin</t>
  </si>
  <si>
    <t>Barrett Urioste</t>
  </si>
  <si>
    <t>Emma Latul</t>
  </si>
  <si>
    <t>Mariam Al Hakeem</t>
  </si>
  <si>
    <t>Lehwon Kang</t>
  </si>
  <si>
    <t>P1-2
W304</t>
  </si>
  <si>
    <r>
      <rPr>
        <rFont val="Comic Sans MS"/>
        <color theme="1"/>
        <sz val="12.0"/>
      </rPr>
      <t xml:space="preserve">Avery Chen, 
Eesha Somani, 
Gabriela Rivera, 
Meghana </t>
    </r>
    <r>
      <rPr>
        <rFont val="Comic Sans MS"/>
        <color theme="1"/>
        <sz val="10.0"/>
      </rPr>
      <t>(Meg-uh-na)</t>
    </r>
    <r>
      <rPr>
        <rFont val="Comic Sans MS"/>
        <color theme="1"/>
        <sz val="12.0"/>
      </rPr>
      <t xml:space="preserve"> Athelli</t>
    </r>
  </si>
  <si>
    <t>Theodore Rudnick</t>
  </si>
  <si>
    <t>Alaina Lin</t>
  </si>
  <si>
    <t>Aiden Lin</t>
  </si>
  <si>
    <t>Emma Whitenight</t>
  </si>
  <si>
    <t>Tani Sanghavi</t>
  </si>
  <si>
    <t>Betselot Habtamu</t>
  </si>
  <si>
    <t>Elena Zhou</t>
  </si>
  <si>
    <t>Karl Zhang</t>
  </si>
  <si>
    <t>Damien Bourdaillet Charif</t>
  </si>
  <si>
    <t>Paul Edwards</t>
  </si>
  <si>
    <t>Alexander Brown</t>
  </si>
  <si>
    <t>Noah Thornton</t>
  </si>
  <si>
    <t>Natalie Blaha</t>
  </si>
  <si>
    <t>Zachery Yueh</t>
  </si>
  <si>
    <t>Vihaan Veer Medleri</t>
  </si>
  <si>
    <t>Sawyer Alcantara</t>
  </si>
  <si>
    <t>Chunmay Jain</t>
  </si>
  <si>
    <t>P1-3
W303</t>
  </si>
  <si>
    <t>Kelly Chang, 
Rishi Addanki, 
Trisha Kuriyal, 
Amaru Kollar</t>
  </si>
  <si>
    <t>Gelan Ding</t>
  </si>
  <si>
    <t>Ethan Kwan</t>
  </si>
  <si>
    <t>Archer McDevitt</t>
  </si>
  <si>
    <t>Miko Hellyer</t>
  </si>
  <si>
    <t>Darsh Bahri</t>
  </si>
  <si>
    <t>Maximilian Kristanto</t>
  </si>
  <si>
    <t>Mustafa Hussain</t>
  </si>
  <si>
    <t>Anay Gupta</t>
  </si>
  <si>
    <t>Aarin Sawhney</t>
  </si>
  <si>
    <t>Ivan Vadakkan</t>
  </si>
  <si>
    <t>Aarav Dakshin Ramkumar</t>
  </si>
  <si>
    <t>Cameron Kelley</t>
  </si>
  <si>
    <t>Ella Donahue</t>
  </si>
  <si>
    <t>Advaith Pendam</t>
  </si>
  <si>
    <t>Mason Moore</t>
  </si>
  <si>
    <t>Michelle Yueh</t>
  </si>
  <si>
    <t>P1-4
W306</t>
  </si>
  <si>
    <r>
      <rPr>
        <rFont val="Comic Sans MS"/>
        <color theme="1"/>
        <sz val="12.0"/>
      </rPr>
      <t xml:space="preserve">Harriet Kroger, 
Arnav </t>
    </r>
    <r>
      <rPr>
        <rFont val="Comic Sans MS"/>
        <color theme="1"/>
        <sz val="10.0"/>
      </rPr>
      <t>(AHR-nav)</t>
    </r>
    <r>
      <rPr>
        <rFont val="Comic Sans MS"/>
        <color theme="1"/>
        <sz val="12.0"/>
      </rPr>
      <t xml:space="preserve"> Jain, 
Jayden Chhabra, 
Aadi Jain</t>
    </r>
  </si>
  <si>
    <t>Jasmine Wang</t>
  </si>
  <si>
    <t>Shaurya Verma</t>
  </si>
  <si>
    <t>Aarav Raisinghani</t>
  </si>
  <si>
    <t>Angela Zhang</t>
  </si>
  <si>
    <t>Lucas Liang</t>
  </si>
  <si>
    <t>Dheeraj Vetukuri</t>
  </si>
  <si>
    <t>Reyansh Rai</t>
  </si>
  <si>
    <t>William Whitenight</t>
  </si>
  <si>
    <t>Muzammil Hussain</t>
  </si>
  <si>
    <t>Sophie Sun</t>
  </si>
  <si>
    <t>Neev Soni</t>
  </si>
  <si>
    <t>Bhargav Suraparaju</t>
  </si>
  <si>
    <t>Moshika Perla</t>
  </si>
  <si>
    <t>Ethan Phan</t>
  </si>
  <si>
    <t>P1-5
W305</t>
  </si>
  <si>
    <r>
      <rPr>
        <rFont val="Comic Sans MS"/>
        <color theme="1"/>
        <sz val="12.0"/>
      </rPr>
      <t xml:space="preserve">Wini Gale, 
Emily Yang, 
Estella Li, 
Rithvik </t>
    </r>
    <r>
      <rPr>
        <rFont val="Comic Sans MS"/>
        <color theme="1"/>
        <sz val="10.0"/>
      </rPr>
      <t>(R-ih-th-vik)</t>
    </r>
    <r>
      <rPr>
        <rFont val="Comic Sans MS"/>
        <color theme="1"/>
        <sz val="12.0"/>
      </rPr>
      <t xml:space="preserve"> Ninganola</t>
    </r>
  </si>
  <si>
    <t>Daniel Chang</t>
  </si>
  <si>
    <t>Hassaanuddin Muhammad</t>
  </si>
  <si>
    <t>Ayesha Khan</t>
  </si>
  <si>
    <t>Dana Jandos</t>
  </si>
  <si>
    <t>Alfery Chen</t>
  </si>
  <si>
    <t>Ayra Mohammed</t>
  </si>
  <si>
    <t>Neil Jain</t>
  </si>
  <si>
    <t>Hung Tran</t>
  </si>
  <si>
    <t>Flynn Olivier</t>
  </si>
  <si>
    <t>Siddhant Hooda</t>
  </si>
  <si>
    <t>Saisha Shah</t>
  </si>
  <si>
    <t>Christina Xue</t>
  </si>
  <si>
    <t>Vasu Gupta</t>
  </si>
  <si>
    <t>Ishaan Gupta</t>
  </si>
  <si>
    <t>P2-1
W220</t>
  </si>
  <si>
    <r>
      <rPr>
        <rFont val="Comic Sans MS"/>
        <color theme="1"/>
        <sz val="12.0"/>
      </rPr>
      <t xml:space="preserve">Kabir </t>
    </r>
    <r>
      <rPr>
        <rFont val="Comic Sans MS"/>
        <color theme="1"/>
        <sz val="10.0"/>
      </rPr>
      <t>(Cuh-beer)</t>
    </r>
    <r>
      <rPr>
        <rFont val="Comic Sans MS"/>
        <color theme="1"/>
        <sz val="12.0"/>
      </rPr>
      <t xml:space="preserve"> Srivastava, 
Andrew Depperschmidt,
Romina Castellanos</t>
    </r>
  </si>
  <si>
    <t>Enoch Park</t>
  </si>
  <si>
    <t>Dhruv Khurana</t>
  </si>
  <si>
    <t>Zander Maxmeister</t>
  </si>
  <si>
    <t>Angela Zhao</t>
  </si>
  <si>
    <t>Ethan Li</t>
  </si>
  <si>
    <t>Louis Zhang</t>
  </si>
  <si>
    <t>Poshya Sai Kunchakuri</t>
  </si>
  <si>
    <t>Noah Zhang</t>
  </si>
  <si>
    <t>Terry Zhang</t>
  </si>
  <si>
    <t>Emily Tang</t>
  </si>
  <si>
    <t>Alina Jing</t>
  </si>
  <si>
    <t>Willow Friberg</t>
  </si>
  <si>
    <t>Zachary Li</t>
  </si>
  <si>
    <t>David Weber</t>
  </si>
  <si>
    <t>P2-2
W218</t>
  </si>
  <si>
    <r>
      <rPr>
        <rFont val="Comic Sans MS"/>
        <color theme="1"/>
        <sz val="12.0"/>
      </rPr>
      <t xml:space="preserve">Mahavira </t>
    </r>
    <r>
      <rPr>
        <rFont val="Comic Sans MS"/>
        <color theme="1"/>
        <sz val="10.0"/>
      </rPr>
      <t>(Mah-ha-vee-ruh)</t>
    </r>
    <r>
      <rPr>
        <rFont val="Comic Sans MS"/>
        <color theme="1"/>
        <sz val="12.0"/>
      </rPr>
      <t xml:space="preserve"> Pakanati, 
Hector Valdez Ortiz, 
Arnav Sharma</t>
    </r>
  </si>
  <si>
    <t>Asrar Ahmed</t>
  </si>
  <si>
    <t>Cole Demmert</t>
  </si>
  <si>
    <t>Lu Smith</t>
  </si>
  <si>
    <t>Daniel Krell</t>
  </si>
  <si>
    <t>Samuel Calaway</t>
  </si>
  <si>
    <t>Bennett Ogden</t>
  </si>
  <si>
    <t>Zifei Zhen</t>
  </si>
  <si>
    <t>Yusuf Farooq</t>
  </si>
  <si>
    <t>Amina Tashkulov</t>
  </si>
  <si>
    <t>Ishan Veer Medleri</t>
  </si>
  <si>
    <t>J1-1
W216</t>
  </si>
  <si>
    <r>
      <rPr>
        <rFont val="Comic Sans MS"/>
        <color theme="1"/>
        <sz val="12.0"/>
      </rPr>
      <t xml:space="preserve">Alex Mitev, 
Arush </t>
    </r>
    <r>
      <rPr>
        <rFont val="Comic Sans MS"/>
        <color theme="1"/>
        <sz val="10.0"/>
      </rPr>
      <t>(ah-ROOSH)</t>
    </r>
    <r>
      <rPr>
        <rFont val="Comic Sans MS"/>
        <color theme="1"/>
        <sz val="12.0"/>
      </rPr>
      <t xml:space="preserve"> Gudise, 
Kaiden Biggins</t>
    </r>
  </si>
  <si>
    <t>Snigdha Deshpande</t>
  </si>
  <si>
    <t>Rakshita no Singh</t>
  </si>
  <si>
    <t>Aisha Ahmed</t>
  </si>
  <si>
    <t>Shreya Bhattarai</t>
  </si>
  <si>
    <t>Zixiu Diao</t>
  </si>
  <si>
    <t>Shane Demmert</t>
  </si>
  <si>
    <t>Joan Smith</t>
  </si>
  <si>
    <t>Nabiha Ahmed</t>
  </si>
  <si>
    <t>Camilla Wang</t>
  </si>
  <si>
    <t>Odette Jay</t>
  </si>
  <si>
    <t>Kellan Lavin</t>
  </si>
  <si>
    <t>Sufyan Ahmed</t>
  </si>
  <si>
    <t>Shreshta Vukkisila</t>
  </si>
  <si>
    <t>J1-2
W214</t>
  </si>
  <si>
    <r>
      <rPr>
        <rFont val="Comic Sans MS"/>
        <color theme="1"/>
        <sz val="12.0"/>
      </rPr>
      <t xml:space="preserve">Nicholas </t>
    </r>
    <r>
      <rPr>
        <rFont val="Comic Sans MS"/>
        <color theme="1"/>
        <sz val="10.0"/>
      </rPr>
      <t>(Nih-kol-lis)</t>
    </r>
    <r>
      <rPr>
        <rFont val="Comic Sans MS"/>
        <color theme="1"/>
        <sz val="12.0"/>
      </rPr>
      <t xml:space="preserve"> Roberts, 
Melissa Ye, 
Terry Zhang</t>
    </r>
  </si>
  <si>
    <t>Jacqueline Yin</t>
  </si>
  <si>
    <t>Marie Leitz</t>
  </si>
  <si>
    <t>Anthony Pino</t>
  </si>
  <si>
    <t>Mira Gavan</t>
  </si>
  <si>
    <t>Anjali Kanitkar</t>
  </si>
  <si>
    <t>George Rumsa</t>
  </si>
  <si>
    <t>Inti Kollar</t>
  </si>
  <si>
    <t>Jovian Yin</t>
  </si>
  <si>
    <t>Jason Siafa</t>
  </si>
  <si>
    <t>Aayush Vivek Krishnan</t>
  </si>
  <si>
    <t>Neka Delgerdorj</t>
  </si>
  <si>
    <t>Telmuun Nyamdorj</t>
  </si>
  <si>
    <t>J2-1
W212</t>
  </si>
  <si>
    <t>Jasper Huang, 
Christopher Zhu</t>
  </si>
  <si>
    <t>Peter Wang</t>
  </si>
  <si>
    <t>Claire Wang</t>
  </si>
  <si>
    <t>Joshua Ide</t>
  </si>
  <si>
    <t>Joshua Ayana</t>
  </si>
  <si>
    <t>MC
W417</t>
  </si>
  <si>
    <r>
      <rPr>
        <rFont val="Comic Sans MS"/>
        <color theme="1"/>
        <sz val="12.0"/>
      </rPr>
      <t xml:space="preserve">Haanie Mohammed, 
William </t>
    </r>
    <r>
      <rPr>
        <rFont val="Comic Sans MS"/>
        <color theme="1"/>
        <sz val="10.0"/>
      </rPr>
      <t>(will-ee-um)</t>
    </r>
    <r>
      <rPr>
        <rFont val="Comic Sans MS"/>
        <color theme="1"/>
        <sz val="12.0"/>
      </rPr>
      <t xml:space="preserve"> Chu, 
Niels </t>
    </r>
    <r>
      <rPr>
        <rFont val="Comic Sans MS"/>
        <color theme="1"/>
        <sz val="10.0"/>
      </rPr>
      <t>(Knee-els)</t>
    </r>
    <r>
      <rPr>
        <rFont val="Comic Sans MS"/>
        <color theme="1"/>
        <sz val="12.0"/>
      </rPr>
      <t xml:space="preserve"> Novotny</t>
    </r>
  </si>
  <si>
    <t>Aarav Somani</t>
  </si>
  <si>
    <t>Cody Gao</t>
  </si>
  <si>
    <t>Henry Elder</t>
  </si>
  <si>
    <t>Jonathan Edwards</t>
  </si>
  <si>
    <t>Nicholas Chu</t>
  </si>
  <si>
    <t>Kaliyah Backus</t>
  </si>
  <si>
    <t>Niko Signorine</t>
  </si>
  <si>
    <t>Felix Griswold</t>
  </si>
  <si>
    <t>Joel Beneyam</t>
  </si>
  <si>
    <t>Armaan Robles</t>
  </si>
  <si>
    <t>Terry Aluri</t>
  </si>
  <si>
    <t>Caleb Ayana</t>
  </si>
  <si>
    <t>Suhaan Lal</t>
  </si>
  <si>
    <t>WD
W415</t>
  </si>
  <si>
    <t xml:space="preserve"> 
Anishka Sinha, 
Lucy Chen,
Aarnav Reddy, 
Evan Sun</t>
  </si>
  <si>
    <t>Daniel Toba</t>
  </si>
  <si>
    <t>Duncan Oliver</t>
  </si>
  <si>
    <t>Isaias Nwangwu</t>
  </si>
  <si>
    <t>Ilan Nemer</t>
  </si>
  <si>
    <t>Parsa Ghazi</t>
  </si>
  <si>
    <t>Sam Ghazi</t>
  </si>
  <si>
    <t>Ellie Urioste</t>
  </si>
  <si>
    <t>Gabe Kwon</t>
  </si>
  <si>
    <t>Brayden Yang</t>
  </si>
  <si>
    <t>Jeanna Li</t>
  </si>
  <si>
    <t>Alina Fahmi</t>
  </si>
  <si>
    <t>Daniel Meharena</t>
  </si>
  <si>
    <t>Mia Henn</t>
  </si>
  <si>
    <t>Ava Henn</t>
  </si>
  <si>
    <t>Roxane Bourdaillet Charif</t>
  </si>
  <si>
    <t>Samuel Kwon</t>
  </si>
  <si>
    <t>Oliver Brown</t>
  </si>
  <si>
    <t>Ebbie Nwangwu</t>
  </si>
  <si>
    <t>Suprim Bhattarai</t>
  </si>
  <si>
    <t>Ashaan Shah</t>
  </si>
  <si>
    <t>Sathwik Deshpande</t>
  </si>
  <si>
    <t>Week 2 Participant Allergy, Miscellaneous Information, Learning Disabilities</t>
  </si>
  <si>
    <t>Class &amp; Section</t>
  </si>
  <si>
    <t>P1-1
W301</t>
  </si>
  <si>
    <t>Aryan(Ah-ree-un) Gupta, 
Akemi (Ah-keh-mee) Kawanabe</t>
  </si>
  <si>
    <t>Keshav Gupta</t>
  </si>
  <si>
    <t>Tang Li</t>
  </si>
  <si>
    <t>Kevin Mah</t>
  </si>
  <si>
    <t>Hunter Miura</t>
  </si>
  <si>
    <t>Leon Meoded</t>
  </si>
  <si>
    <t>Misheel Jambaltovuu</t>
  </si>
  <si>
    <t>Kelly Chang, 
Avery Chen, 
Eesha Somani</t>
  </si>
  <si>
    <t>Molly Stevens</t>
  </si>
  <si>
    <t>Austin Janchiv</t>
  </si>
  <si>
    <t>Kristina Serebriakova</t>
  </si>
  <si>
    <t>Harriet Kroger, 
Jayden Chhabra,
Emily Yang</t>
  </si>
  <si>
    <t>Raghav Srivastava</t>
  </si>
  <si>
    <t>Erik Eskestrand</t>
  </si>
  <si>
    <t>Dev raghav Sajeev</t>
  </si>
  <si>
    <t>Elliot Stocki</t>
  </si>
  <si>
    <t>Anusha Unadkat</t>
  </si>
  <si>
    <t>P2-1
W202</t>
  </si>
  <si>
    <t>Henri Acosta,
Hector Valdez Ortiz, 
Arnav(AHR-nav) Jain</t>
  </si>
  <si>
    <t>Kabir(Cuh - beer) Srivastava, 
Avi (UH-vee) Novotny, 
Arnav Sharma</t>
  </si>
  <si>
    <t>P2-3
W216</t>
  </si>
  <si>
    <t>Mahavira(Mah ha vee ruh) Pakanati,
Zixuan Li, 
Aadi (AAA-DI) Jain</t>
  </si>
  <si>
    <t>Landon Ye</t>
  </si>
  <si>
    <t>Muhammad Zain Ali</t>
  </si>
  <si>
    <t>J1-1
W306</t>
  </si>
  <si>
    <t>Nicholas Roberts, 
Ananya(Uh-nuh-nya) Gupta,
Arush(ah-ROOSH) Gudise, 
Amaru Kollar</t>
  </si>
  <si>
    <t>Ari Kirsten</t>
  </si>
  <si>
    <t>Viaan Deshpande</t>
  </si>
  <si>
    <t>Daniel Chance</t>
  </si>
  <si>
    <t>Henry Sermos</t>
  </si>
  <si>
    <t>J1-2
W305</t>
  </si>
  <si>
    <t>Wini Gale, 
Kaiden Biggins, 
Melissa Ye</t>
  </si>
  <si>
    <t>Spencer Pak</t>
  </si>
  <si>
    <t>Symon Pak</t>
  </si>
  <si>
    <t>J2-1
W214</t>
  </si>
  <si>
    <t>Alexander Mitev, 
Meghana(Me-guh-na) Athelli</t>
  </si>
  <si>
    <t>Sam Berman</t>
  </si>
  <si>
    <t>J2-2
W212</t>
  </si>
  <si>
    <t>Jasper Huang,
Christopher Zhu, 
Terry Zhang</t>
  </si>
  <si>
    <t>Makayla Dorow</t>
  </si>
  <si>
    <t>Haanie Mohammed, 
William Chu, 
Niels(Knee- els) Novotny</t>
  </si>
  <si>
    <t>Avery Yin</t>
  </si>
  <si>
    <t>Diego Munoz</t>
  </si>
  <si>
    <t>Hiro Kawanabe</t>
  </si>
  <si>
    <t xml:space="preserve"> 
Lucy Chen,
Aarnav Reddy, 
Evan Sun, 
Shayaan(Shy-An, like Cheyenne) Obaidullah, 
June Spradley, 
Elynor Sykes</t>
  </si>
  <si>
    <t>Rowan Park</t>
  </si>
  <si>
    <t>Noah Dang</t>
  </si>
  <si>
    <t>Mikko Karam</t>
  </si>
  <si>
    <t>Elijah Chi</t>
  </si>
  <si>
    <t>Aria Deshpande</t>
  </si>
  <si>
    <t>Liya Liang</t>
  </si>
  <si>
    <t>Yuqing Xia</t>
  </si>
  <si>
    <t>Elio Karam</t>
  </si>
  <si>
    <t>Lucy Acosta</t>
  </si>
  <si>
    <t>Leila Acosta</t>
  </si>
  <si>
    <t>Adelaide Schopp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</si>
</sst>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20.0"/>
      <color theme="1"/>
      <name val="Comic Sans MS"/>
    </font>
    <font>
      <sz val="12.0"/>
      <color theme="1"/>
      <name val="Comic Sans MS"/>
    </font>
    <font>
      <b/>
      <sz val="15.0"/>
      <color theme="1"/>
      <name val="Comic Sans MS"/>
    </font>
    <font>
      <b/>
      <sz val="12.0"/>
      <color theme="1"/>
      <name val="Comic Sans MS"/>
    </font>
    <font>
      <b/>
      <sz val="12.0"/>
      <color rgb="FFFFFFFF"/>
      <name val="Comic Sans MS"/>
    </font>
    <font>
      <sz val="12.0"/>
      <color rgb="FFFFFFFF"/>
      <name val="Comic Sans MS"/>
    </font>
    <font>
      <b/>
      <i/>
      <sz val="15.0"/>
      <color theme="1"/>
      <name val="Comic Sans MS"/>
    </font>
    <font>
      <color theme="1"/>
      <name val="Comic Sans MS"/>
    </font>
    <font>
      <b/>
      <color theme="1"/>
      <name val="Comic Sans MS"/>
    </font>
    <font>
      <color theme="1"/>
      <name val="Arial"/>
    </font>
    <font>
      <color rgb="FF222222"/>
      <name val="Comic Sans MS"/>
    </font>
    <font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FFE599"/>
        <bgColor rgb="FFFFE599"/>
      </patternFill>
    </fill>
    <fill>
      <patternFill patternType="solid">
        <fgColor rgb="FFEFEFEF"/>
        <bgColor rgb="FFEFEFEF"/>
      </patternFill>
    </fill>
    <fill>
      <patternFill patternType="solid">
        <fgColor theme="8"/>
        <bgColor theme="8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FF6D01"/>
        <bgColor rgb="FFFF6D01"/>
      </patternFill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0" xfId="0" applyFont="1" applyNumberFormat="1"/>
    <xf borderId="0" fillId="0" fontId="2" numFmtId="0" xfId="0" applyFont="1"/>
    <xf borderId="0" fillId="2" fontId="3" numFmtId="0" xfId="0" applyAlignment="1" applyFont="1">
      <alignment horizontal="center" readingOrder="0"/>
    </xf>
    <xf borderId="0" fillId="2" fontId="4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4" fontId="5" numFmtId="0" xfId="0" applyAlignment="1" applyFill="1" applyFont="1">
      <alignment horizontal="center" readingOrder="0"/>
    </xf>
    <xf borderId="0" fillId="4" fontId="6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5" fontId="1" numFmtId="0" xfId="0" applyAlignment="1" applyFill="1" applyFont="1">
      <alignment horizontal="center" readingOrder="0" shrinkToFit="0" vertical="center" wrapText="1"/>
    </xf>
    <xf borderId="0" fillId="5" fontId="7" numFmtId="0" xfId="0" applyAlignment="1" applyFont="1">
      <alignment horizontal="center" readingOrder="0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6" fontId="2" numFmtId="0" xfId="0" applyAlignment="1" applyFill="1" applyFont="1">
      <alignment horizontal="center" readingOrder="0" shrinkToFit="0" vertical="center" wrapText="1"/>
    </xf>
    <xf borderId="0" fillId="7" fontId="8" numFmtId="0" xfId="0" applyAlignment="1" applyFill="1" applyFont="1">
      <alignment readingOrder="0" shrinkToFit="0" vertical="center" wrapText="1"/>
    </xf>
    <xf borderId="0" fillId="7" fontId="8" numFmtId="0" xfId="0" applyAlignment="1" applyFont="1">
      <alignment horizontal="center" readingOrder="0" shrinkToFit="0" vertical="center" wrapText="1"/>
    </xf>
    <xf borderId="0" fillId="7" fontId="8" numFmtId="0" xfId="0" applyFont="1"/>
    <xf borderId="0" fillId="7" fontId="9" numFmtId="0" xfId="0" applyAlignment="1" applyFont="1">
      <alignment horizontal="center" readingOrder="0" shrinkToFit="0" vertical="center" wrapText="1"/>
    </xf>
    <xf borderId="0" fillId="6" fontId="8" numFmtId="0" xfId="0" applyAlignment="1" applyFont="1">
      <alignment readingOrder="0" shrinkToFit="0" vertical="center" wrapText="1"/>
    </xf>
    <xf borderId="0" fillId="6" fontId="8" numFmtId="0" xfId="0" applyAlignment="1" applyFont="1">
      <alignment horizontal="center" readingOrder="0" shrinkToFit="0" vertical="center" wrapText="1"/>
    </xf>
    <xf borderId="0" fillId="6" fontId="8" numFmtId="0" xfId="0" applyFont="1"/>
    <xf borderId="0" fillId="6" fontId="9" numFmtId="0" xfId="0" applyAlignment="1" applyFont="1">
      <alignment horizontal="center" readingOrder="0" shrinkToFit="0" vertical="center" wrapText="1"/>
    </xf>
    <xf borderId="0" fillId="8" fontId="8" numFmtId="0" xfId="0" applyAlignment="1" applyFill="1" applyFont="1">
      <alignment readingOrder="0" shrinkToFit="0" vertical="center" wrapText="1"/>
    </xf>
    <xf borderId="0" fillId="8" fontId="8" numFmtId="0" xfId="0" applyAlignment="1" applyFont="1">
      <alignment horizontal="center" readingOrder="0" shrinkToFit="0" vertical="center" wrapText="1"/>
    </xf>
    <xf borderId="0" fillId="8" fontId="8" numFmtId="0" xfId="0" applyFont="1"/>
    <xf borderId="0" fillId="8" fontId="9" numFmtId="0" xfId="0" applyAlignment="1" applyFont="1">
      <alignment horizontal="center" readingOrder="0" shrinkToFit="0" vertical="center" wrapText="1"/>
    </xf>
    <xf borderId="0" fillId="6" fontId="8" numFmtId="0" xfId="0" applyAlignment="1" applyFont="1">
      <alignment shrinkToFit="0" wrapText="1"/>
    </xf>
    <xf borderId="0" fillId="6" fontId="9" numFmtId="0" xfId="0" applyFont="1"/>
    <xf borderId="0" fillId="0" fontId="2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8" numFmtId="0" xfId="0" applyFont="1"/>
    <xf borderId="0" fillId="9" fontId="8" numFmtId="0" xfId="0" applyAlignment="1" applyFill="1" applyFont="1">
      <alignment readingOrder="0" shrinkToFit="0" vertical="center" wrapText="1"/>
    </xf>
    <xf borderId="0" fillId="9" fontId="9" numFmtId="0" xfId="0" applyAlignment="1" applyFont="1">
      <alignment horizontal="center" readingOrder="0" shrinkToFit="0" vertical="center" wrapText="1"/>
    </xf>
    <xf borderId="0" fillId="9" fontId="8" numFmtId="0" xfId="0" applyFont="1"/>
    <xf borderId="0" fillId="9" fontId="8" numFmtId="0" xfId="0" applyAlignment="1" applyFont="1">
      <alignment horizontal="center" readingOrder="0" shrinkToFit="0" vertical="center" wrapText="1"/>
    </xf>
    <xf borderId="0" fillId="10" fontId="8" numFmtId="0" xfId="0" applyAlignment="1" applyFill="1" applyFont="1">
      <alignment shrinkToFit="0" wrapText="1"/>
    </xf>
    <xf borderId="0" fillId="10" fontId="8" numFmtId="0" xfId="0" applyAlignment="1" applyFont="1">
      <alignment horizontal="center" readingOrder="0" shrinkToFit="0" vertical="center" wrapText="1"/>
    </xf>
    <xf borderId="0" fillId="10" fontId="8" numFmtId="0" xfId="0" applyFont="1"/>
    <xf borderId="0" fillId="10" fontId="9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shrinkToFit="0" wrapText="1"/>
    </xf>
    <xf borderId="0" fillId="0" fontId="10" numFmtId="0" xfId="0" applyFont="1"/>
    <xf borderId="0" fillId="0" fontId="9" numFmtId="0" xfId="0" applyAlignment="1" applyFont="1">
      <alignment vertical="bottom"/>
    </xf>
    <xf borderId="0" fillId="0" fontId="9" numFmtId="0" xfId="0" applyAlignment="1" applyFont="1">
      <alignment horizontal="center" shrinkToFit="0" wrapText="1"/>
    </xf>
    <xf borderId="0" fillId="0" fontId="8" numFmtId="0" xfId="0" applyAlignment="1" applyFont="1">
      <alignment horizontal="center" shrinkToFit="0" wrapText="1"/>
    </xf>
    <xf borderId="0" fillId="7" fontId="9" numFmtId="0" xfId="0" applyFont="1"/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horizontal="center" readingOrder="0" shrinkToFit="0" vertical="center" wrapText="1"/>
    </xf>
    <xf borderId="0" fillId="8" fontId="8" numFmtId="0" xfId="0" applyAlignment="1" applyFont="1">
      <alignment readingOrder="0" shrinkToFit="0" wrapText="1"/>
    </xf>
    <xf borderId="0" fillId="7" fontId="8" numFmtId="0" xfId="0" applyAlignment="1" applyFont="1">
      <alignment readingOrder="0" shrinkToFit="0" wrapText="1"/>
    </xf>
    <xf borderId="0" fillId="8" fontId="8" numFmtId="0" xfId="0" applyAlignment="1" applyFont="1">
      <alignment shrinkToFit="0" wrapText="1"/>
    </xf>
    <xf borderId="0" fillId="7" fontId="8" numFmtId="0" xfId="0" applyAlignment="1" applyFont="1">
      <alignment shrinkToFit="0" wrapText="1"/>
    </xf>
    <xf borderId="0" fillId="6" fontId="11" numFmtId="0" xfId="0" applyAlignment="1" applyFont="1">
      <alignment readingOrder="0" shrinkToFit="0" vertical="center" wrapText="1"/>
    </xf>
    <xf borderId="0" fillId="6" fontId="12" numFmtId="0" xfId="0" applyAlignment="1" applyFont="1">
      <alignment readingOrder="0"/>
    </xf>
    <xf borderId="0" fillId="6" fontId="8" numFmtId="0" xfId="0" applyAlignment="1" applyFont="1">
      <alignment shrinkToFit="0" vertical="center" wrapText="1"/>
    </xf>
    <xf borderId="0" fillId="6" fontId="10" numFmtId="0" xfId="0" applyAlignment="1" applyFont="1">
      <alignment vertical="bottom"/>
    </xf>
    <xf borderId="0" fillId="6" fontId="8" numFmtId="0" xfId="0" applyAlignment="1" applyFont="1">
      <alignment readingOrder="0"/>
    </xf>
    <xf borderId="0" fillId="0" fontId="10" numFmtId="0" xfId="0" applyAlignment="1" applyFont="1">
      <alignment vertical="bottom"/>
    </xf>
    <xf borderId="0" fillId="11" fontId="12" numFmtId="0" xfId="0" applyFill="1" applyFont="1"/>
    <xf borderId="0" fillId="11" fontId="8" numFmtId="0" xfId="0" applyFont="1"/>
    <xf borderId="0" fillId="11" fontId="12" numFmtId="0" xfId="0" applyAlignment="1" applyFont="1">
      <alignment horizontal="center"/>
    </xf>
    <xf borderId="0" fillId="0" fontId="12" numFmtId="0" xfId="0" applyAlignment="1" applyFont="1">
      <alignment horizontal="center"/>
    </xf>
    <xf borderId="0" fillId="0" fontId="12" numFmtId="0" xfId="0" applyAlignment="1" applyFont="1">
      <alignment vertical="center"/>
    </xf>
    <xf borderId="0" fillId="9" fontId="8" numFmtId="0" xfId="0" applyAlignment="1" applyFont="1">
      <alignment readingOrder="0" shrinkToFit="0" wrapText="1"/>
    </xf>
    <xf borderId="0" fillId="0" fontId="8" numFmtId="0" xfId="0" applyAlignment="1" applyFont="1">
      <alignment vertical="bottom"/>
    </xf>
    <xf borderId="0" fillId="9" fontId="10" numFmtId="0" xfId="0" applyFont="1"/>
    <xf borderId="0" fillId="6" fontId="8" numFmtId="0" xfId="0" applyAlignment="1" applyFont="1">
      <alignment readingOrder="0" shrinkToFit="0" wrapText="1"/>
    </xf>
    <xf borderId="0" fillId="6" fontId="8" numFmtId="0" xfId="0" applyAlignment="1" applyFont="1">
      <alignment horizontal="center" shrinkToFit="0" wrapText="1"/>
    </xf>
    <xf borderId="0" fillId="0" fontId="8" numFmtId="0" xfId="0" applyAlignment="1" applyFont="1">
      <alignment shrinkToFit="0" vertical="center" wrapText="1"/>
    </xf>
    <xf borderId="0" fillId="0" fontId="12" numFmtId="0" xfId="0" applyFont="1"/>
    <xf borderId="0" fillId="8" fontId="8" numFmtId="0" xfId="0" applyAlignment="1" applyFont="1">
      <alignment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6" fontId="8" numFmtId="0" xfId="0" applyAlignment="1" applyFont="1">
      <alignment shrinkToFit="0" vertical="bottom" wrapText="1"/>
    </xf>
    <xf borderId="0" fillId="0" fontId="8" numFmtId="0" xfId="0" applyAlignment="1" applyFont="1">
      <alignment readingOrder="0"/>
    </xf>
    <xf borderId="0" fillId="9" fontId="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3" width="18.0"/>
    <col customWidth="1" min="4" max="4" width="14.25"/>
    <col customWidth="1" min="5" max="5" width="19.38"/>
    <col customWidth="1" min="6" max="6" width="14.5"/>
    <col customWidth="1" min="9" max="9" width="18.75"/>
  </cols>
  <sheetData>
    <row r="1">
      <c r="A1" s="1" t="s">
        <v>0</v>
      </c>
      <c r="I1" s="2" t="s">
        <v>1</v>
      </c>
      <c r="J1" s="3">
        <f>G10/F10</f>
        <v>0.003012048193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" t="s">
        <v>11</v>
      </c>
      <c r="B4" s="7">
        <f>IFERROR(__xludf.DUMMYFUNCTION("COUNTIF(
IMPORTRANGE(""https://docs.google.com/spreadsheets/d/1rG8iy-kKSFDxhVaU60GJ2bpXc8tZqI1bT8U0Ac0DWTU/edit"",""REGISTRATION!AD:AD""),
""Introduction to Java""
)"),26.0)</f>
        <v>26</v>
      </c>
      <c r="C4" s="7">
        <f>IFERROR(__xludf.DUMMYFUNCTION("COUNTIF(
IMPORTRANGE(""https://docs.google.com/spreadsheets/d/1rG8iy-kKSFDxhVaU60GJ2bpXc8tZqI1bT8U0Ac0DWTU/edit"",""REGISTRATION!AF:AF""),
""Introduction to Java""
)"),27.0)</f>
        <v>27</v>
      </c>
      <c r="D4" s="8"/>
      <c r="E4" s="8"/>
      <c r="F4" s="8"/>
      <c r="G4" s="8"/>
      <c r="H4" s="8">
        <f t="shared" ref="H4:H10" si="1">F4-G4</f>
        <v>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" t="s">
        <v>12</v>
      </c>
      <c r="B5" s="7">
        <f>IFERROR(__xludf.DUMMYFUNCTION("COUNTIF(
IMPORTRANGE(""https://docs.google.com/spreadsheets/d/1rG8iy-kKSFDxhVaU60GJ2bpXc8tZqI1bT8U0Ac0DWTU/edit"",""REGISTRATION!AD:AD""),
""Introduction to Python""
)"),78.0)</f>
        <v>78</v>
      </c>
      <c r="C5" s="7">
        <f>IFERROR(__xludf.DUMMYFUNCTION("COUNTIF(
IMPORTRANGE(""https://docs.google.com/spreadsheets/d/1rG8iy-kKSFDxhVaU60GJ2bpXc8tZqI1bT8U0Ac0DWTU/edit"",""REGISTRATION!AF:AF""),
""Introduction to Python""
)"),32.0)</f>
        <v>32</v>
      </c>
      <c r="D5" s="8"/>
      <c r="E5" s="8"/>
      <c r="F5" s="8"/>
      <c r="G5" s="8">
        <v>1.0</v>
      </c>
      <c r="H5" s="8">
        <f t="shared" si="1"/>
        <v>-1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" t="s">
        <v>13</v>
      </c>
      <c r="B6" s="7">
        <f>IFERROR(__xludf.DUMMYFUNCTION("COUNTIF(
IMPORTRANGE(""https://docs.google.com/spreadsheets/d/1rG8iy-kKSFDxhVaU60GJ2bpXc8tZqI1bT8U0Ac0DWTU/edit"",""REGISTRATION!AD:AD""),
""Intermediate Java""
)"),4.0)</f>
        <v>4</v>
      </c>
      <c r="C6" s="7">
        <f>IFERROR(__xludf.DUMMYFUNCTION("COUNTIF(
IMPORTRANGE(""https://docs.google.com/spreadsheets/d/1rG8iy-kKSFDxhVaU60GJ2bpXc8tZqI1bT8U0Ac0DWTU/edit"",""REGISTRATION!AF:AF""),
""Intermediate Java""
)"),21.0)</f>
        <v>21</v>
      </c>
      <c r="D6" s="8"/>
      <c r="E6" s="8"/>
      <c r="F6" s="8"/>
      <c r="G6" s="8"/>
      <c r="H6" s="8">
        <f t="shared" si="1"/>
        <v>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" t="s">
        <v>14</v>
      </c>
      <c r="B7" s="7">
        <f>IFERROR(__xludf.DUMMYFUNCTION("COUNTIF(
IMPORTRANGE(""https://docs.google.com/spreadsheets/d/1rG8iy-kKSFDxhVaU60GJ2bpXc8tZqI1bT8U0Ac0DWTU/edit"",""REGISTRATION!AD:AD""),
""Intermediate Python""
)"),24.0)</f>
        <v>24</v>
      </c>
      <c r="C7" s="7">
        <f>IFERROR(__xludf.DUMMYFUNCTION("COUNTIF(
IMPORTRANGE(""https://docs.google.com/spreadsheets/d/1rG8iy-kKSFDxhVaU60GJ2bpXc8tZqI1bT8U0Ac0DWTU/edit"",""REGISTRATION!AF:AF""),
""Intermediate Python""
)"),40.0)</f>
        <v>40</v>
      </c>
      <c r="D7" s="8"/>
      <c r="E7" s="8"/>
      <c r="F7" s="8"/>
      <c r="G7" s="8"/>
      <c r="H7" s="8">
        <f t="shared" si="1"/>
        <v>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" t="s">
        <v>15</v>
      </c>
      <c r="B8" s="7">
        <f>IFERROR(__xludf.DUMMYFUNCTION("COUNTIF(
IMPORTRANGE(""https://docs.google.com/spreadsheets/d/1rG8iy-kKSFDxhVaU60GJ2bpXc8tZqI1bT8U0Ac0DWTU/edit"",""REGISTRATION!AD:AD""),
""Introduction to Microcontrollers - Capped at 20 (Intermediate Python and Rising 7th graders and above)""
)"),12.0)</f>
        <v>12</v>
      </c>
      <c r="C8" s="7">
        <f>IFERROR(__xludf.DUMMYFUNCTION("COUNTIF(
IMPORTRANGE(""https://docs.google.com/spreadsheets/d/1rG8iy-kKSFDxhVaU60GJ2bpXc8tZqI1bT8U0Ac0DWTU/edit"",""REGISTRATION!AF:AF""),
""Introduction to Microcontrollers - Capped at 20 (Intermediate Python and Rising 7th graders and above)""
)"),21.0)</f>
        <v>21</v>
      </c>
      <c r="D8" s="8"/>
      <c r="E8" s="8"/>
      <c r="F8" s="8"/>
      <c r="G8" s="8"/>
      <c r="H8" s="8">
        <f t="shared" si="1"/>
        <v>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" t="s">
        <v>16</v>
      </c>
      <c r="B9" s="7">
        <f>IFERROR(__xludf.DUMMYFUNCTION("COUNTIF(
IMPORTRANGE(""https://docs.google.com/spreadsheets/d/1rG8iy-kKSFDxhVaU60GJ2bpXc8tZqI1bT8U0Ac0DWTU/edit"",""REGISTRATION!AD:AD""),
""Web Development - Capped at 25""
)"),22.0)</f>
        <v>22</v>
      </c>
      <c r="C9" s="7">
        <f>IFERROR(__xludf.DUMMYFUNCTION("COUNTIF(
IMPORTRANGE(""https://docs.google.com/spreadsheets/d/1rG8iy-kKSFDxhVaU60GJ2bpXc8tZqI1bT8U0Ac0DWTU/edit"",""REGISTRATION!AF:AF""),
""Web Development - Capped at 25""
)"),25.0)</f>
        <v>25</v>
      </c>
      <c r="D9" s="8"/>
      <c r="E9" s="8"/>
      <c r="F9" s="8"/>
      <c r="G9" s="8"/>
      <c r="H9" s="8">
        <f t="shared" si="1"/>
        <v>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9" t="s">
        <v>17</v>
      </c>
      <c r="B10" s="10">
        <f t="shared" ref="B10:E10" si="2">SUM(B4:B9)</f>
        <v>166</v>
      </c>
      <c r="C10" s="10">
        <f t="shared" si="2"/>
        <v>166</v>
      </c>
      <c r="D10" s="8">
        <f t="shared" si="2"/>
        <v>0</v>
      </c>
      <c r="E10" s="8">
        <f t="shared" si="2"/>
        <v>0</v>
      </c>
      <c r="F10" s="8">
        <f>SUM(B10:E10)</f>
        <v>332</v>
      </c>
      <c r="G10" s="8">
        <f>SUM(G4:G9)</f>
        <v>1</v>
      </c>
      <c r="H10" s="8">
        <f t="shared" si="1"/>
        <v>331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" t="s">
        <v>18</v>
      </c>
      <c r="B12" s="11">
        <f>COUNTA('W1 Allergies, Learning Disabili'!C4:C223)
</f>
        <v>144</v>
      </c>
      <c r="C12" s="11">
        <f>COUNTA('W2 Allergies, Learning Disabilites, Misc, By Class'!B3:B170)
</f>
        <v>1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2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2">
    <mergeCell ref="A1:H1"/>
    <mergeCell ref="A2:H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5.5"/>
    <col customWidth="1" min="2" max="2" width="25.5"/>
    <col customWidth="1" min="3" max="3" width="25.13"/>
    <col customWidth="1" min="6" max="6" width="38.5"/>
    <col customWidth="1" min="7" max="7" width="39.5"/>
    <col customWidth="1" min="8" max="8" width="38.13"/>
  </cols>
  <sheetData>
    <row r="1">
      <c r="A1" s="12" t="s">
        <v>19</v>
      </c>
    </row>
    <row r="2">
      <c r="A2" s="13" t="s">
        <v>20</v>
      </c>
    </row>
    <row r="3">
      <c r="A3" s="14" t="s">
        <v>21</v>
      </c>
      <c r="B3" s="14" t="s">
        <v>22</v>
      </c>
      <c r="C3" s="14" t="s">
        <v>23</v>
      </c>
      <c r="D3" s="14" t="s">
        <v>24</v>
      </c>
      <c r="E3" s="14" t="s">
        <v>25</v>
      </c>
      <c r="F3" s="14" t="s">
        <v>26</v>
      </c>
      <c r="G3" s="14" t="s">
        <v>27</v>
      </c>
      <c r="H3" s="14" t="s">
        <v>28</v>
      </c>
    </row>
    <row r="4">
      <c r="A4" s="15" t="s">
        <v>29</v>
      </c>
      <c r="B4" s="15" t="s">
        <v>30</v>
      </c>
      <c r="C4" s="16" t="s">
        <v>31</v>
      </c>
      <c r="D4" s="17" t="str">
        <f>IFERROR(__xludf.DUMMYFUNCTION("IFNA(
IF(
VLOOKUP(C4,IMPORTRANGE(""https://docs.google.com/spreadsheets/d/1rG8iy-kKSFDxhVaU60GJ2bpXc8tZqI1bT8U0Ac0DWTU/edit?usp=sharing"",""REGISTRATION!C:X""),22,FALSE)
=""I qualify for Free and Reduced Lunch and WOULD like lunch to be provided for my ch"&amp;"ild."",
""Yes"",
""""
),
""""
)"),"")</f>
        <v/>
      </c>
      <c r="E4" s="18" t="str">
        <f>IFERROR(__xludf.DUMMYFUNCTION("IFNA(
IF(
VLOOKUP(C4,IMPORTRANGE(""https://docs.google.com/spreadsheets/d/1rG8iy-kKSFDxhVaU60GJ2bpXc8tZqI1bT8U0Ac0DWTU/edit?usp=sharing"",""REGISTRATION!C:AB""),26,FALSE)
=""No"",
""No Candy"",
""""
),
""""
)"),"")</f>
        <v/>
      </c>
      <c r="F4" s="19" t="str">
        <f>IFERROR(__xludf.DUMMYFUNCTION("IFNA(VLOOKUP(C4,IMPORTRANGE(""https://docs.google.com/spreadsheets/d/1rG8iy-kKSFDxhVaU60GJ2bpXc8tZqI1bT8U0Ac0DWTU/edit?usp=sharing"",""REGISTRATION!C:V""),18,FALSE),"""")"),"No peanuts, tree nuts. Carries Neffy")</f>
        <v>No peanuts, tree nuts. Carries Neffy</v>
      </c>
      <c r="G4" s="17" t="str">
        <f>IFERROR(__xludf.DUMMYFUNCTION("IFNA(VLOOKUP(C4,IMPORTRANGE(""https://docs.google.com/spreadsheets/d/1rG8iy-kKSFDxhVaU60GJ2bpXc8tZqI1bT8U0Ac0DWTU/edit?usp=sharing"",""REGISTRATION!C:V""),20,FALSE),"""")"),"")</f>
        <v/>
      </c>
      <c r="H4" s="19" t="str">
        <f>IFERROR(__xludf.DUMMYFUNCTION("IFNA(VLOOKUP(C4,IMPORTRANGE(""https://docs.google.com/spreadsheets/d/1rG8iy-kKSFDxhVaU60GJ2bpXc8tZqI1bT8U0Ac0DWTU/edit?usp=sharing"",""REGISTRATION!C:V""),19,FALSE),"""")"),"ADHD")</f>
        <v>ADHD</v>
      </c>
    </row>
    <row r="5">
      <c r="C5" s="20" t="s">
        <v>32</v>
      </c>
      <c r="D5" s="21" t="str">
        <f>IFERROR(__xludf.DUMMYFUNCTION("IFNA(
IF(
VLOOKUP(C5,IMPORTRANGE(""https://docs.google.com/spreadsheets/d/1rG8iy-kKSFDxhVaU60GJ2bpXc8tZqI1bT8U0Ac0DWTU/edit?usp=sharing"",""REGISTRATION!C:X""),22,FALSE)
=""I qualify for Free and Reduced Lunch and WOULD like lunch to be provided for my ch"&amp;"ild."",
""Yes"",
""""
),
""""
)"),"")</f>
        <v/>
      </c>
      <c r="E5" s="22" t="str">
        <f>IFERROR(__xludf.DUMMYFUNCTION("IFNA(
IF(
VLOOKUP(C5,IMPORTRANGE(""https://docs.google.com/spreadsheets/d/1rG8iy-kKSFDxhVaU60GJ2bpXc8tZqI1bT8U0Ac0DWTU/edit?usp=sharing"",""REGISTRATION!C:AB""),26,FALSE)
=""No"",
""No Candy"",
""""
),
""""
)"),"")</f>
        <v/>
      </c>
      <c r="F5" s="21" t="str">
        <f>IFERROR(__xludf.DUMMYFUNCTION("IFNA(VLOOKUP(C5,IMPORTRANGE(""https://docs.google.com/spreadsheets/d/1rG8iy-kKSFDxhVaU60GJ2bpXc8tZqI1bT8U0Ac0DWTU/edit?usp=sharing"",""REGISTRATION!C:V""),18,FALSE),"""")"),"None")</f>
        <v>None</v>
      </c>
      <c r="G5" s="21" t="str">
        <f>IFERROR(__xludf.DUMMYFUNCTION("IFNA(VLOOKUP(C5,IMPORTRANGE(""https://docs.google.com/spreadsheets/d/1rG8iy-kKSFDxhVaU60GJ2bpXc8tZqI1bT8U0Ac0DWTU/edit?usp=sharing"",""REGISTRATION!C:V""),20,FALSE),"""")"),"")</f>
        <v/>
      </c>
      <c r="H5" s="21" t="str">
        <f>IFERROR(__xludf.DUMMYFUNCTION("IFNA(VLOOKUP(C5,IMPORTRANGE(""https://docs.google.com/spreadsheets/d/1rG8iy-kKSFDxhVaU60GJ2bpXc8tZqI1bT8U0Ac0DWTU/edit?usp=sharing"",""REGISTRATION!C:V""),19,FALSE),"""")"),"None")</f>
        <v>None</v>
      </c>
    </row>
    <row r="6">
      <c r="C6" s="20" t="s">
        <v>33</v>
      </c>
      <c r="D6" s="21" t="str">
        <f>IFERROR(__xludf.DUMMYFUNCTION("IFNA(
IF(
VLOOKUP(C6,IMPORTRANGE(""https://docs.google.com/spreadsheets/d/1rG8iy-kKSFDxhVaU60GJ2bpXc8tZqI1bT8U0Ac0DWTU/edit?usp=sharing"",""REGISTRATION!C:X""),22,FALSE)
=""I qualify for Free and Reduced Lunch and WOULD like lunch to be provided for my ch"&amp;"ild."",
""Yes"",
""""
),
""""
)"),"")</f>
        <v/>
      </c>
      <c r="E6" s="22" t="str">
        <f>IFERROR(__xludf.DUMMYFUNCTION("IFNA(
IF(
VLOOKUP(C6,IMPORTRANGE(""https://docs.google.com/spreadsheets/d/1rG8iy-kKSFDxhVaU60GJ2bpXc8tZqI1bT8U0Ac0DWTU/edit?usp=sharing"",""REGISTRATION!C:AB""),26,FALSE)
=""No"",
""No Candy"",
""""
),
""""
)"),"")</f>
        <v/>
      </c>
      <c r="F6" s="21" t="str">
        <f>IFERROR(__xludf.DUMMYFUNCTION("IFNA(VLOOKUP(C6,IMPORTRANGE(""https://docs.google.com/spreadsheets/d/1rG8iy-kKSFDxhVaU60GJ2bpXc8tZqI1bT8U0Ac0DWTU/edit?usp=sharing"",""REGISTRATION!C:V""),18,FALSE),"""")"),"None")</f>
        <v>None</v>
      </c>
      <c r="G6" s="21" t="str">
        <f>IFERROR(__xludf.DUMMYFUNCTION("IFNA(VLOOKUP(C6,IMPORTRANGE(""https://docs.google.com/spreadsheets/d/1rG8iy-kKSFDxhVaU60GJ2bpXc8tZqI1bT8U0Ac0DWTU/edit?usp=sharing"",""REGISTRATION!C:V""),20,FALSE),"""")"),"")</f>
        <v/>
      </c>
      <c r="H6" s="21" t="str">
        <f>IFERROR(__xludf.DUMMYFUNCTION("IFNA(VLOOKUP(C6,IMPORTRANGE(""https://docs.google.com/spreadsheets/d/1rG8iy-kKSFDxhVaU60GJ2bpXc8tZqI1bT8U0Ac0DWTU/edit?usp=sharing"",""REGISTRATION!C:V""),19,FALSE),"""")"),"None")</f>
        <v>None</v>
      </c>
    </row>
    <row r="7">
      <c r="C7" s="20" t="s">
        <v>34</v>
      </c>
      <c r="D7" s="21" t="str">
        <f>IFERROR(__xludf.DUMMYFUNCTION("IFNA(
IF(
VLOOKUP(C7,IMPORTRANGE(""https://docs.google.com/spreadsheets/d/1rG8iy-kKSFDxhVaU60GJ2bpXc8tZqI1bT8U0Ac0DWTU/edit?usp=sharing"",""REGISTRATION!C:X""),22,FALSE)
=""I qualify for Free and Reduced Lunch and WOULD like lunch to be provided for my ch"&amp;"ild."",
""Yes"",
""""
),
""""
)"),"")</f>
        <v/>
      </c>
      <c r="E7" s="22" t="str">
        <f>IFERROR(__xludf.DUMMYFUNCTION("IFNA(
IF(
VLOOKUP(C7,IMPORTRANGE(""https://docs.google.com/spreadsheets/d/1rG8iy-kKSFDxhVaU60GJ2bpXc8tZqI1bT8U0Ac0DWTU/edit?usp=sharing"",""REGISTRATION!C:AB""),26,FALSE)
=""No"",
""No Candy"",
""""
),
""""
)"),"")</f>
        <v/>
      </c>
      <c r="F7" s="21" t="str">
        <f>IFERROR(__xludf.DUMMYFUNCTION("IFNA(VLOOKUP(C7,IMPORTRANGE(""https://docs.google.com/spreadsheets/d/1rG8iy-kKSFDxhVaU60GJ2bpXc8tZqI1bT8U0Ac0DWTU/edit?usp=sharing"",""REGISTRATION!C:V""),18,FALSE),"""")"),"None")</f>
        <v>None</v>
      </c>
      <c r="G7" s="21" t="str">
        <f>IFERROR(__xludf.DUMMYFUNCTION("IFNA(VLOOKUP(C7,IMPORTRANGE(""https://docs.google.com/spreadsheets/d/1rG8iy-kKSFDxhVaU60GJ2bpXc8tZqI1bT8U0Ac0DWTU/edit?usp=sharing"",""REGISTRATION!C:V""),20,FALSE),"""")"),"Is on IEP")</f>
        <v>Is on IEP</v>
      </c>
      <c r="H7" s="23" t="str">
        <f>IFERROR(__xludf.DUMMYFUNCTION("IFNA(VLOOKUP(C7,IMPORTRANGE(""https://docs.google.com/spreadsheets/d/1rG8iy-kKSFDxhVaU60GJ2bpXc8tZqI1bT8U0Ac0DWTU/edit?usp=sharing"",""REGISTRATION!C:V""),19,FALSE),"""")"),"Adhd, anxiety")</f>
        <v>Adhd, anxiety</v>
      </c>
    </row>
    <row r="8">
      <c r="C8" s="24" t="s">
        <v>35</v>
      </c>
      <c r="D8" s="25" t="str">
        <f>IFERROR(__xludf.DUMMYFUNCTION("IFNA(
IF(
VLOOKUP(C8,IMPORTRANGE(""https://docs.google.com/spreadsheets/d/1rG8iy-kKSFDxhVaU60GJ2bpXc8tZqI1bT8U0Ac0DWTU/edit?usp=sharing"",""REGISTRATION!C:X""),22,FALSE)
=""I qualify for Free and Reduced Lunch and WOULD like lunch to be provided for my ch"&amp;"ild."",
""Yes"",
""""
),
""""
)"),"")</f>
        <v/>
      </c>
      <c r="E8" s="26" t="str">
        <f>IFERROR(__xludf.DUMMYFUNCTION("IFNA(
IF(
VLOOKUP(C8,IMPORTRANGE(""https://docs.google.com/spreadsheets/d/1rG8iy-kKSFDxhVaU60GJ2bpXc8tZqI1bT8U0Ac0DWTU/edit?usp=sharing"",""REGISTRATION!C:AB""),26,FALSE)
=""No"",
""No Candy"",
""""
),
""""
)"),"")</f>
        <v/>
      </c>
      <c r="F8" s="25" t="str">
        <f>IFERROR(__xludf.DUMMYFUNCTION("IFNA(VLOOKUP(C8,IMPORTRANGE(""https://docs.google.com/spreadsheets/d/1rG8iy-kKSFDxhVaU60GJ2bpXc8tZqI1bT8U0Ac0DWTU/edit?usp=sharing"",""REGISTRATION!C:V""),18,FALSE),"""")"),"None")</f>
        <v>None</v>
      </c>
      <c r="G8" s="25" t="str">
        <f>IFERROR(__xludf.DUMMYFUNCTION("IFNA(VLOOKUP(C8,IMPORTRANGE(""https://docs.google.com/spreadsheets/d/1rG8iy-kKSFDxhVaU60GJ2bpXc8tZqI1bT8U0Ac0DWTU/edit?usp=sharing"",""REGISTRATION!C:V""),20,FALSE),"""")"),"Will arrive late on Monday 1pm and Friday 10am")</f>
        <v>Will arrive late on Monday 1pm and Friday 10am</v>
      </c>
      <c r="H8" s="25" t="str">
        <f>IFERROR(__xludf.DUMMYFUNCTION("IFNA(VLOOKUP(C8,IMPORTRANGE(""https://docs.google.com/spreadsheets/d/1rG8iy-kKSFDxhVaU60GJ2bpXc8tZqI1bT8U0Ac0DWTU/edit?usp=sharing"",""REGISTRATION!C:V""),19,FALSE),"""")"),"None")</f>
        <v>None</v>
      </c>
    </row>
    <row r="9">
      <c r="C9" s="24" t="s">
        <v>36</v>
      </c>
      <c r="D9" s="25" t="str">
        <f>IFERROR(__xludf.DUMMYFUNCTION("IFNA(
IF(
VLOOKUP(C9,IMPORTRANGE(""https://docs.google.com/spreadsheets/d/1rG8iy-kKSFDxhVaU60GJ2bpXc8tZqI1bT8U0Ac0DWTU/edit?usp=sharing"",""REGISTRATION!C:X""),22,FALSE)
=""I qualify for Free and Reduced Lunch and WOULD like lunch to be provided for my ch"&amp;"ild."",
""Yes"",
""""
),
""""
)"),"")</f>
        <v/>
      </c>
      <c r="E9" s="26" t="str">
        <f>IFERROR(__xludf.DUMMYFUNCTION("IFNA(
IF(
VLOOKUP(C9,IMPORTRANGE(""https://docs.google.com/spreadsheets/d/1rG8iy-kKSFDxhVaU60GJ2bpXc8tZqI1bT8U0Ac0DWTU/edit?usp=sharing"",""REGISTRATION!C:AB""),26,FALSE)
=""No"",
""No Candy"",
""""
),
""""
)"),"")</f>
        <v/>
      </c>
      <c r="F9" s="25" t="str">
        <f>IFERROR(__xludf.DUMMYFUNCTION("IFNA(VLOOKUP(C9,IMPORTRANGE(""https://docs.google.com/spreadsheets/d/1rG8iy-kKSFDxhVaU60GJ2bpXc8tZqI1bT8U0Ac0DWTU/edit?usp=sharing"",""REGISTRATION!C:V""),18,FALSE),"""")"),"None")</f>
        <v>None</v>
      </c>
      <c r="G9" s="25" t="str">
        <f>IFERROR(__xludf.DUMMYFUNCTION("IFNA(VLOOKUP(C9,IMPORTRANGE(""https://docs.google.com/spreadsheets/d/1rG8iy-kKSFDxhVaU60GJ2bpXc8tZqI1bT8U0Ac0DWTU/edit?usp=sharing"",""REGISTRATION!C:V""),20,FALSE),"""")"),"")</f>
        <v/>
      </c>
      <c r="H9" s="25" t="str">
        <f>IFERROR(__xludf.DUMMYFUNCTION("IFNA(VLOOKUP(C9,IMPORTRANGE(""https://docs.google.com/spreadsheets/d/1rG8iy-kKSFDxhVaU60GJ2bpXc8tZqI1bT8U0Ac0DWTU/edit?usp=sharing"",""REGISTRATION!C:V""),19,FALSE),"""")"),"None")</f>
        <v>None</v>
      </c>
    </row>
    <row r="10">
      <c r="C10" s="24" t="s">
        <v>37</v>
      </c>
      <c r="D10" s="27" t="str">
        <f>IFERROR(__xludf.DUMMYFUNCTION("IFNA(
IF(
VLOOKUP(C10,IMPORTRANGE(""https://docs.google.com/spreadsheets/d/1rG8iy-kKSFDxhVaU60GJ2bpXc8tZqI1bT8U0Ac0DWTU/edit?usp=sharing"",""REGISTRATION!C:X""),22,FALSE)
=""I qualify for Free and Reduced Lunch and WOULD like lunch to be provided for my c"&amp;"hild."",
""Yes"",
""""
),
""""
)"),"Yes")</f>
        <v>Yes</v>
      </c>
      <c r="E10" s="26" t="str">
        <f>IFERROR(__xludf.DUMMYFUNCTION("IFNA(
IF(
VLOOKUP(C10,IMPORTRANGE(""https://docs.google.com/spreadsheets/d/1rG8iy-kKSFDxhVaU60GJ2bpXc8tZqI1bT8U0Ac0DWTU/edit?usp=sharing"",""REGISTRATION!C:AB""),26,FALSE)
=""No"",
""No Candy"",
""""
),
""""
)"),"")</f>
        <v/>
      </c>
      <c r="F10" s="25" t="str">
        <f>IFERROR(__xludf.DUMMYFUNCTION("IFNA(VLOOKUP(C10,IMPORTRANGE(""https://docs.google.com/spreadsheets/d/1rG8iy-kKSFDxhVaU60GJ2bpXc8tZqI1bT8U0Ac0DWTU/edit?usp=sharing"",""REGISTRATION!C:V""),18,FALSE),"""")"),"None")</f>
        <v>None</v>
      </c>
      <c r="G10" s="25" t="str">
        <f>IFERROR(__xludf.DUMMYFUNCTION("IFNA(VLOOKUP(C10,IMPORTRANGE(""https://docs.google.com/spreadsheets/d/1rG8iy-kKSFDxhVaU60GJ2bpXc8tZqI1bT8U0Ac0DWTU/edit?usp=sharing"",""REGISTRATION!C:V""),20,FALSE),"""")"),"")</f>
        <v/>
      </c>
      <c r="H10" s="25" t="str">
        <f>IFERROR(__xludf.DUMMYFUNCTION("IFNA(VLOOKUP(C10,IMPORTRANGE(""https://docs.google.com/spreadsheets/d/1rG8iy-kKSFDxhVaU60GJ2bpXc8tZqI1bT8U0Ac0DWTU/edit?usp=sharing"",""REGISTRATION!C:V""),19,FALSE),"""")"),"None")</f>
        <v>None</v>
      </c>
    </row>
    <row r="11">
      <c r="C11" s="20" t="s">
        <v>38</v>
      </c>
      <c r="D11" s="21" t="str">
        <f>IFERROR(__xludf.DUMMYFUNCTION("IFNA(
IF(
VLOOKUP(C11,IMPORTRANGE(""https://docs.google.com/spreadsheets/d/1rG8iy-kKSFDxhVaU60GJ2bpXc8tZqI1bT8U0Ac0DWTU/edit?usp=sharing"",""REGISTRATION!C:X""),22,FALSE)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11" s="22" t="str">
        <f>IFERROR(__xludf.DUMMYFUNCTION("IFNA(
IF(
VLOOKUP(C11,IMPORTRANGE(""https://docs.google.com/spreadsheets/d/1rG8iy-kKSFDxhVaU60GJ2bpXc8tZqI1bT8U0Ac0DWTU/edit?usp=sharing"",""REGISTRATION!C:AB""),26,FALSE)
=""No"",
""No Candy"",
""""
),
""""
)"),"")</f>
        <v/>
      </c>
      <c r="F11" s="21" t="str">
        <f>IFERROR(__xludf.DUMMYFUNCTION("IFNA(VLOOKUP(C11,IMPORTRANGE(""https://docs.google.com/spreadsheets/d/1rG8iy-kKSFDxhVaU60GJ2bpXc8tZqI1bT8U0Ac0DWTU/edit?usp=sharing"",""REGISTRATION!C:V""),18,FALSE),"""")"),"None")</f>
        <v>None</v>
      </c>
      <c r="G11" s="21" t="str">
        <f>IFERROR(__xludf.DUMMYFUNCTION("IFNA(VLOOKUP(C11,IMPORTRANGE(""https://docs.google.com/spreadsheets/d/1rG8iy-kKSFDxhVaU60GJ2bpXc8tZqI1bT8U0Ac0DWTU/edit?usp=sharing"",""REGISTRATION!C:V""),20,FALSE),"""")"),"")</f>
        <v/>
      </c>
      <c r="H11" s="21" t="str">
        <f>IFERROR(__xludf.DUMMYFUNCTION("IFNA(VLOOKUP(C11,IMPORTRANGE(""https://docs.google.com/spreadsheets/d/1rG8iy-kKSFDxhVaU60GJ2bpXc8tZqI1bT8U0Ac0DWTU/edit?usp=sharing"",""REGISTRATION!C:V""),19,FALSE),"""")"),"None")</f>
        <v>None</v>
      </c>
    </row>
    <row r="12">
      <c r="C12" s="24" t="s">
        <v>39</v>
      </c>
      <c r="D12" s="25" t="str">
        <f>IFERROR(__xludf.DUMMYFUNCTION("IFNA(
IF(
VLOOKUP(C12,IMPORTRANGE(""https://docs.google.com/spreadsheets/d/1rG8iy-kKSFDxhVaU60GJ2bpXc8tZqI1bT8U0Ac0DWTU/edit?usp=sharing"",""REGISTRATION!C:X""),22,FALSE)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12" s="18" t="str">
        <f>IFERROR(__xludf.DUMMYFUNCTION("IFNA(
IF(
VLOOKUP(C12,IMPORTRANGE(""https://docs.google.com/spreadsheets/d/1rG8iy-kKSFDxhVaU60GJ2bpXc8tZqI1bT8U0Ac0DWTU/edit?usp=sharing"",""REGISTRATION!C:AB""),26,FALSE)
=""No"",
""No Candy"",
""""
),
""""
)"),"")</f>
        <v/>
      </c>
      <c r="F12" s="19" t="str">
        <f>IFERROR(__xludf.DUMMYFUNCTION("IFNA(VLOOKUP(C12,IMPORTRANGE(""https://docs.google.com/spreadsheets/d/1rG8iy-kKSFDxhVaU60GJ2bpXc8tZqI1bT8U0Ac0DWTU/edit?usp=sharing"",""REGISTRATION!C:V""),18,FALSE),"""")"),"Vegetarian Diet (No egg and no fish)")</f>
        <v>Vegetarian Diet (No egg and no fish)</v>
      </c>
      <c r="G12" s="17" t="str">
        <f>IFERROR(__xludf.DUMMYFUNCTION("IFNA(VLOOKUP(C12,IMPORTRANGE(""https://docs.google.com/spreadsheets/d/1rG8iy-kKSFDxhVaU60GJ2bpXc8tZqI1bT8U0Ac0DWTU/edit?usp=sharing"",""REGISTRATION!C:V""),20,FALSE),"""")"),"")</f>
        <v/>
      </c>
      <c r="H12" s="17" t="str">
        <f>IFERROR(__xludf.DUMMYFUNCTION("IFNA(VLOOKUP(C12,IMPORTRANGE(""https://docs.google.com/spreadsheets/d/1rG8iy-kKSFDxhVaU60GJ2bpXc8tZqI1bT8U0Ac0DWTU/edit?usp=sharing"",""REGISTRATION!C:V""),19,FALSE),"""")"),"None")</f>
        <v>None</v>
      </c>
    </row>
    <row r="13">
      <c r="C13" s="24" t="s">
        <v>40</v>
      </c>
      <c r="D13" s="25" t="str">
        <f>IFERROR(__xludf.DUMMYFUNCTION("IFNA(
IF(
VLOOKUP(C13,IMPORTRANGE(""https://docs.google.com/spreadsheets/d/1rG8iy-kKSFDxhVaU60GJ2bpXc8tZqI1bT8U0Ac0DWTU/edit?usp=sharing"",""REGISTRATION!C:X""),22,FALSE)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13" s="26" t="str">
        <f>IFERROR(__xludf.DUMMYFUNCTION("IFNA(
IF(
VLOOKUP(C13,IMPORTRANGE(""https://docs.google.com/spreadsheets/d/1rG8iy-kKSFDxhVaU60GJ2bpXc8tZqI1bT8U0Ac0DWTU/edit?usp=sharing"",""REGISTRATION!C:AB""),26,FALSE)
=""No"",
""No Candy"",
""""
),
""""
)"),"")</f>
        <v/>
      </c>
      <c r="F13" s="25" t="str">
        <f>IFERROR(__xludf.DUMMYFUNCTION("IFNA(VLOOKUP(C13,IMPORTRANGE(""https://docs.google.com/spreadsheets/d/1rG8iy-kKSFDxhVaU60GJ2bpXc8tZqI1bT8U0Ac0DWTU/edit?usp=sharing"",""REGISTRATION!C:V""),18,FALSE),"""")"),"None")</f>
        <v>None</v>
      </c>
      <c r="G13" s="25" t="str">
        <f>IFERROR(__xludf.DUMMYFUNCTION("IFNA(VLOOKUP(C13,IMPORTRANGE(""https://docs.google.com/spreadsheets/d/1rG8iy-kKSFDxhVaU60GJ2bpXc8tZqI1bT8U0Ac0DWTU/edit?usp=sharing"",""REGISTRATION!C:V""),20,FALSE),"""")"),"")</f>
        <v/>
      </c>
      <c r="H13" s="25" t="str">
        <f>IFERROR(__xludf.DUMMYFUNCTION("IFNA(VLOOKUP(C13,IMPORTRANGE(""https://docs.google.com/spreadsheets/d/1rG8iy-kKSFDxhVaU60GJ2bpXc8tZqI1bT8U0Ac0DWTU/edit?usp=sharing"",""REGISTRATION!C:V""),19,FALSE),"""")"),"None")</f>
        <v>None</v>
      </c>
    </row>
    <row r="14">
      <c r="C14" s="28" t="s">
        <v>41</v>
      </c>
      <c r="D14" s="21" t="str">
        <f>IFERROR(__xludf.DUMMYFUNCTION("IFNA(
IF(
VLOOKUP(C14,IMPORTRANGE(""https://docs.google.com/spreadsheets/d/1rG8iy-kKSFDxhVaU60GJ2bpXc8tZqI1bT8U0Ac0DWTU/edit?usp=sharing"",""REGISTRATION!C:X""),22,FALSE)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14" s="22" t="str">
        <f>IFERROR(__xludf.DUMMYFUNCTION("IFNA(
IF(
VLOOKUP(C14,IMPORTRANGE(""https://docs.google.com/spreadsheets/d/1rG8iy-kKSFDxhVaU60GJ2bpXc8tZqI1bT8U0Ac0DWTU/edit?usp=sharing"",""REGISTRATION!C:AB""),26,FALSE)
=""No"",
""No Candy"",
""""
),
""""
)"),"")</f>
        <v/>
      </c>
      <c r="F14" s="21" t="str">
        <f>IFERROR(__xludf.DUMMYFUNCTION("IFNA(VLOOKUP(C14,IMPORTRANGE(""https://docs.google.com/spreadsheets/d/1rG8iy-kKSFDxhVaU60GJ2bpXc8tZqI1bT8U0Ac0DWTU/edit?usp=sharing"",""REGISTRATION!C:V""),18,FALSE),"""")"),"None")</f>
        <v>None</v>
      </c>
      <c r="G14" s="21" t="str">
        <f>IFERROR(__xludf.DUMMYFUNCTION("IFNA(VLOOKUP(C14,IMPORTRANGE(""https://docs.google.com/spreadsheets/d/1rG8iy-kKSFDxhVaU60GJ2bpXc8tZqI1bT8U0Ac0DWTU/edit?usp=sharing"",""REGISTRATION!C:V""),20,FALSE),"""")"),"")</f>
        <v/>
      </c>
      <c r="H14" s="21" t="str">
        <f>IFERROR(__xludf.DUMMYFUNCTION("IFNA(VLOOKUP(C14,IMPORTRANGE(""https://docs.google.com/spreadsheets/d/1rG8iy-kKSFDxhVaU60GJ2bpXc8tZqI1bT8U0Ac0DWTU/edit?usp=sharing"",""REGISTRATION!C:V""),19,FALSE),"""")"),"None")</f>
        <v>None</v>
      </c>
    </row>
    <row r="15">
      <c r="C15" s="28" t="s">
        <v>42</v>
      </c>
      <c r="D15" s="21" t="str">
        <f>IFERROR(__xludf.DUMMYFUNCTION("IFNA(
IF(
VLOOKUP(C15,IMPORTRANGE(""https://docs.google.com/spreadsheets/d/1rG8iy-kKSFDxhVaU60GJ2bpXc8tZqI1bT8U0Ac0DWTU/edit?usp=sharing"",""REGISTRATION!C:X""),22,FALSE)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15" s="22" t="str">
        <f>IFERROR(__xludf.DUMMYFUNCTION("IFNA(
IF(
VLOOKUP(C15,IMPORTRANGE(""https://docs.google.com/spreadsheets/d/1rG8iy-kKSFDxhVaU60GJ2bpXc8tZqI1bT8U0Ac0DWTU/edit?usp=sharing"",""REGISTRATION!C:AB""),26,FALSE)
=""No"",
""No Candy"",
""""
),
""""
)"),"")</f>
        <v/>
      </c>
      <c r="F15" s="21" t="str">
        <f>IFERROR(__xludf.DUMMYFUNCTION("IFNA(VLOOKUP(C15,IMPORTRANGE(""https://docs.google.com/spreadsheets/d/1rG8iy-kKSFDxhVaU60GJ2bpXc8tZqI1bT8U0Ac0DWTU/edit?usp=sharing"",""REGISTRATION!C:V""),18,FALSE),"""")"),"None")</f>
        <v>None</v>
      </c>
      <c r="G15" s="21" t="str">
        <f>IFERROR(__xludf.DUMMYFUNCTION("IFNA(VLOOKUP(C15,IMPORTRANGE(""https://docs.google.com/spreadsheets/d/1rG8iy-kKSFDxhVaU60GJ2bpXc8tZqI1bT8U0Ac0DWTU/edit?usp=sharing"",""REGISTRATION!C:V""),20,FALSE),"""")"),"")</f>
        <v/>
      </c>
      <c r="H15" s="21" t="str">
        <f>IFERROR(__xludf.DUMMYFUNCTION("IFNA(VLOOKUP(C15,IMPORTRANGE(""https://docs.google.com/spreadsheets/d/1rG8iy-kKSFDxhVaU60GJ2bpXc8tZqI1bT8U0Ac0DWTU/edit?usp=sharing"",""REGISTRATION!C:V""),19,FALSE),"""")"),"None")</f>
        <v>None</v>
      </c>
    </row>
    <row r="16">
      <c r="C16" s="20" t="s">
        <v>43</v>
      </c>
      <c r="D16" s="21" t="str">
        <f>IFERROR(__xludf.DUMMYFUNCTION("IFNA(
IF(
VLOOKUP(C16,IMPORTRANGE(""https://docs.google.com/spreadsheets/d/1rG8iy-kKSFDxhVaU60GJ2bpXc8tZqI1bT8U0Ac0DWTU/edit?usp=sharing"",""REGISTRATION!C:X""),22,FALSE)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16" s="22" t="str">
        <f>IFERROR(__xludf.DUMMYFUNCTION("IFNA(
IF(
VLOOKUP(C16,IMPORTRANGE(""https://docs.google.com/spreadsheets/d/1rG8iy-kKSFDxhVaU60GJ2bpXc8tZqI1bT8U0Ac0DWTU/edit?usp=sharing"",""REGISTRATION!C:AB""),26,FALSE)
=""No"",
""No Candy"",
""""
),
""""
)"),"")</f>
        <v/>
      </c>
      <c r="F16" s="21" t="str">
        <f>IFERROR(__xludf.DUMMYFUNCTION("IFNA(VLOOKUP(C16,IMPORTRANGE(""https://docs.google.com/spreadsheets/d/1rG8iy-kKSFDxhVaU60GJ2bpXc8tZqI1bT8U0Ac0DWTU/edit?usp=sharing"",""REGISTRATION!C:V""),18,FALSE),"""")"),"None")</f>
        <v>None</v>
      </c>
      <c r="G16" s="21" t="s">
        <v>44</v>
      </c>
      <c r="H16" s="21" t="str">
        <f>IFERROR(__xludf.DUMMYFUNCTION("IFNA(VLOOKUP(C16,IMPORTRANGE(""https://docs.google.com/spreadsheets/d/1rG8iy-kKSFDxhVaU60GJ2bpXc8tZqI1bT8U0Ac0DWTU/edit?usp=sharing"",""REGISTRATION!C:V""),19,FALSE),"""")"),"None")</f>
        <v>None</v>
      </c>
    </row>
    <row r="17">
      <c r="C17" s="24" t="s">
        <v>45</v>
      </c>
      <c r="D17" s="25" t="str">
        <f>IFERROR(__xludf.DUMMYFUNCTION("IFNA(
IF(
VLOOKUP(C17,IMPORTRANGE(""https://docs.google.com/spreadsheets/d/1rG8iy-kKSFDxhVaU60GJ2bpXc8tZqI1bT8U0Ac0DWTU/edit?usp=sharing"",""REGISTRATION!C:X""),22,FALSE)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17" s="26" t="str">
        <f>IFERROR(__xludf.DUMMYFUNCTION("IFNA(
IF(
VLOOKUP(C17,IMPORTRANGE(""https://docs.google.com/spreadsheets/d/1rG8iy-kKSFDxhVaU60GJ2bpXc8tZqI1bT8U0Ac0DWTU/edit?usp=sharing"",""REGISTRATION!C:AB""),26,FALSE)
=""No"",
""No Candy"",
""""
),
""""
)"),"")</f>
        <v/>
      </c>
      <c r="F17" s="25" t="str">
        <f>IFERROR(__xludf.DUMMYFUNCTION("IFNA(VLOOKUP(C17,IMPORTRANGE(""https://docs.google.com/spreadsheets/d/1rG8iy-kKSFDxhVaU60GJ2bpXc8tZqI1bT8U0Ac0DWTU/edit?usp=sharing"",""REGISTRATION!C:V""),18,FALSE),"""")"),"None")</f>
        <v>None</v>
      </c>
      <c r="G17" s="25" t="str">
        <f>IFERROR(__xludf.DUMMYFUNCTION("IFNA(VLOOKUP(C17,IMPORTRANGE(""https://docs.google.com/spreadsheets/d/1rG8iy-kKSFDxhVaU60GJ2bpXc8tZqI1bT8U0Ac0DWTU/edit?usp=sharing"",""REGISTRATION!C:V""),20,FALSE),"""")"),"")</f>
        <v/>
      </c>
      <c r="H17" s="27" t="str">
        <f>IFERROR(__xludf.DUMMYFUNCTION("IFNA(VLOOKUP(C17,IMPORTRANGE(""https://docs.google.com/spreadsheets/d/1rG8iy-kKSFDxhVaU60GJ2bpXc8tZqI1bT8U0Ac0DWTU/edit?usp=sharing"",""REGISTRATION!C:V""),19,FALSE),"""")"),"ASD")</f>
        <v>ASD</v>
      </c>
    </row>
    <row r="18">
      <c r="C18" s="28" t="s">
        <v>46</v>
      </c>
      <c r="D18" s="21"/>
      <c r="E18" s="29"/>
      <c r="F18" s="23"/>
      <c r="G18" s="21"/>
      <c r="H18" s="21"/>
    </row>
    <row r="19">
      <c r="C19" s="28" t="s">
        <v>47</v>
      </c>
      <c r="D19" s="21" t="str">
        <f>IFERROR(__xludf.DUMMYFUNCTION("IFNA(
IF(
VLOOKUP(C19,IMPORTRANGE(""https://docs.google.com/spreadsheets/d/1rG8iy-kKSFDxhVaU60GJ2bpXc8tZqI1bT8U0Ac0DWTU/edit?usp=sharing"",""REGISTRATION!C:X""),22,FALSE)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19" s="22" t="str">
        <f>IFERROR(__xludf.DUMMYFUNCTION("IFNA(
IF(
VLOOKUP(C19,IMPORTRANGE(""https://docs.google.com/spreadsheets/d/1rG8iy-kKSFDxhVaU60GJ2bpXc8tZqI1bT8U0Ac0DWTU/edit?usp=sharing"",""REGISTRATION!C:AB""),26,FALSE)
=""No"",
""No Candy"",
""""
),
""""
)"),"")</f>
        <v/>
      </c>
      <c r="F19" s="21" t="str">
        <f>IFERROR(__xludf.DUMMYFUNCTION("IFNA(VLOOKUP(C19,IMPORTRANGE(""https://docs.google.com/spreadsheets/d/1rG8iy-kKSFDxhVaU60GJ2bpXc8tZqI1bT8U0Ac0DWTU/edit?usp=sharing"",""REGISTRATION!C:V""),18,FALSE),"""")"),"None")</f>
        <v>None</v>
      </c>
      <c r="G19" s="21" t="str">
        <f>IFERROR(__xludf.DUMMYFUNCTION("IFNA(VLOOKUP(C19,IMPORTRANGE(""https://docs.google.com/spreadsheets/d/1rG8iy-kKSFDxhVaU60GJ2bpXc8tZqI1bT8U0Ac0DWTU/edit?usp=sharing"",""REGISTRATION!C:V""),20,FALSE),"""")"),"")</f>
        <v/>
      </c>
      <c r="H19" s="21" t="str">
        <f>IFERROR(__xludf.DUMMYFUNCTION("IFNA(VLOOKUP(C19,IMPORTRANGE(""https://docs.google.com/spreadsheets/d/1rG8iy-kKSFDxhVaU60GJ2bpXc8tZqI1bT8U0Ac0DWTU/edit?usp=sharing"",""REGISTRATION!C:V""),19,FALSE),"""")"),"None")</f>
        <v>None</v>
      </c>
    </row>
    <row r="20">
      <c r="C20" s="24" t="s">
        <v>48</v>
      </c>
      <c r="D20" s="25" t="str">
        <f>IFERROR(__xludf.DUMMYFUNCTION("IFNA(
IF(
VLOOKUP(C20,IMPORTRANGE(""https://docs.google.com/spreadsheets/d/1rG8iy-kKSFDxhVaU60GJ2bpXc8tZqI1bT8U0Ac0DWTU/edit?usp=sharing"",""REGISTRATION!C:X""),22,FALSE)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20" s="26" t="str">
        <f>IFERROR(__xludf.DUMMYFUNCTION("IFNA(
IF(
VLOOKUP(C20,IMPORTRANGE(""https://docs.google.com/spreadsheets/d/1rG8iy-kKSFDxhVaU60GJ2bpXc8tZqI1bT8U0Ac0DWTU/edit?usp=sharing"",""REGISTRATION!C:AB""),26,FALSE)
=""No"",
""No Candy"",
""""
),
""""
)"),"")</f>
        <v/>
      </c>
      <c r="F20" s="25" t="str">
        <f>IFERROR(__xludf.DUMMYFUNCTION("IFNA(VLOOKUP(C20,IMPORTRANGE(""https://docs.google.com/spreadsheets/d/1rG8iy-kKSFDxhVaU60GJ2bpXc8tZqI1bT8U0Ac0DWTU/edit?usp=sharing"",""REGISTRATION!C:V""),18,FALSE),"""")"),"None")</f>
        <v>None</v>
      </c>
      <c r="G20" s="25" t="str">
        <f>IFERROR(__xludf.DUMMYFUNCTION("IFNA(VLOOKUP(C20,IMPORTRANGE(""https://docs.google.com/spreadsheets/d/1rG8iy-kKSFDxhVaU60GJ2bpXc8tZqI1bT8U0Ac0DWTU/edit?usp=sharing"",""REGISTRATION!C:V""),20,FALSE),"""")"),"")</f>
        <v/>
      </c>
      <c r="H20" s="25" t="str">
        <f>IFERROR(__xludf.DUMMYFUNCTION("IFNA(VLOOKUP(C20,IMPORTRANGE(""https://docs.google.com/spreadsheets/d/1rG8iy-kKSFDxhVaU60GJ2bpXc8tZqI1bT8U0Ac0DWTU/edit?usp=sharing"",""REGISTRATION!C:V""),19,FALSE),"""")"),"None")</f>
        <v>None</v>
      </c>
    </row>
    <row r="21">
      <c r="C21" s="20"/>
      <c r="D21" s="21" t="str">
        <f>IFERROR(__xludf.DUMMYFUNCTION("IFNA(
IF(
VLOOKUP(C21,IMPORTRANGE(""https://docs.google.com/spreadsheets/d/1rG8iy-kKSFDxhVaU60GJ2bpXc8tZqI1bT8U0Ac0DWTU/edit?usp=sharing"",""REGISTRATION!C:X""),22,FALSE)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21" s="22" t="str">
        <f>IFERROR(__xludf.DUMMYFUNCTION("IFNA(
IF(
VLOOKUP(C21,IMPORTRANGE(""https://docs.google.com/spreadsheets/d/1rG8iy-kKSFDxhVaU60GJ2bpXc8tZqI1bT8U0Ac0DWTU/edit?usp=sharing"",""REGISTRATION!C:AB""),26,FALSE)
=""No"",
""No Candy"",
""""
),
""""
)"),"")</f>
        <v/>
      </c>
      <c r="F21" s="21" t="str">
        <f>IFERROR(__xludf.DUMMYFUNCTION("IFNA(VLOOKUP(C21,IMPORTRANGE(""https://docs.google.com/spreadsheets/d/1rG8iy-kKSFDxhVaU60GJ2bpXc8tZqI1bT8U0Ac0DWTU/edit?usp=sharing"",""REGISTRATION!C:V""),18,FALSE),"""")"),"")</f>
        <v/>
      </c>
      <c r="G21" s="21" t="str">
        <f>IFERROR(__xludf.DUMMYFUNCTION("IFNA(VLOOKUP(C21,IMPORTRANGE(""https://docs.google.com/spreadsheets/d/1rG8iy-kKSFDxhVaU60GJ2bpXc8tZqI1bT8U0Ac0DWTU/edit?usp=sharing"",""REGISTRATION!C:V""),20,FALSE),"""")"),"")</f>
        <v/>
      </c>
      <c r="H21" s="21" t="str">
        <f>IFERROR(__xludf.DUMMYFUNCTION("IFNA(VLOOKUP(C21,IMPORTRANGE(""https://docs.google.com/spreadsheets/d/1rG8iy-kKSFDxhVaU60GJ2bpXc8tZqI1bT8U0Ac0DWTU/edit?usp=sharing"",""REGISTRATION!C:V""),19,FALSE),"""")"),"")</f>
        <v/>
      </c>
    </row>
    <row r="22">
      <c r="C22" s="20"/>
      <c r="D22" s="21" t="str">
        <f>IFERROR(__xludf.DUMMYFUNCTION("IFNA(
IF(
VLOOKUP(C22,IMPORTRANGE(""https://docs.google.com/spreadsheets/d/1rG8iy-kKSFDxhVaU60GJ2bpXc8tZqI1bT8U0Ac0DWTU/edit?usp=sharing"",""REGISTRATION!C:X""),22,FALSE)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22" s="22" t="str">
        <f>IFERROR(__xludf.DUMMYFUNCTION("IFNA(
IF(
VLOOKUP(C22,IMPORTRANGE(""https://docs.google.com/spreadsheets/d/1rG8iy-kKSFDxhVaU60GJ2bpXc8tZqI1bT8U0Ac0DWTU/edit?usp=sharing"",""REGISTRATION!C:AB""),26,FALSE)
=""No"",
""No Candy"",
""""
),
""""
)"),"")</f>
        <v/>
      </c>
      <c r="F22" s="21" t="str">
        <f>IFERROR(__xludf.DUMMYFUNCTION("IFNA(VLOOKUP(C22,IMPORTRANGE(""https://docs.google.com/spreadsheets/d/1rG8iy-kKSFDxhVaU60GJ2bpXc8tZqI1bT8U0Ac0DWTU/edit?usp=sharing"",""REGISTRATION!C:V""),18,FALSE),"""")"),"")</f>
        <v/>
      </c>
      <c r="G22" s="21" t="str">
        <f>IFERROR(__xludf.DUMMYFUNCTION("IFNA(VLOOKUP(C22,IMPORTRANGE(""https://docs.google.com/spreadsheets/d/1rG8iy-kKSFDxhVaU60GJ2bpXc8tZqI1bT8U0Ac0DWTU/edit?usp=sharing"",""REGISTRATION!C:V""),20,FALSE),"""")"),"")</f>
        <v/>
      </c>
      <c r="H22" s="21" t="str">
        <f>IFERROR(__xludf.DUMMYFUNCTION("IFNA(VLOOKUP(C22,IMPORTRANGE(""https://docs.google.com/spreadsheets/d/1rG8iy-kKSFDxhVaU60GJ2bpXc8tZqI1bT8U0Ac0DWTU/edit?usp=sharing"",""REGISTRATION!C:V""),19,FALSE),"""")"),"")</f>
        <v/>
      </c>
    </row>
    <row r="23">
      <c r="C23" s="20"/>
      <c r="D23" s="21" t="str">
        <f>IFERROR(__xludf.DUMMYFUNCTION("IFNA(
IF(
VLOOKUP(C23,IMPORTRANGE(""https://docs.google.com/spreadsheets/d/1rG8iy-kKSFDxhVaU60GJ2bpXc8tZqI1bT8U0Ac0DWTU/edit?usp=sharing"",""REGISTRATION!C:X""),22,FALSE)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23" s="22" t="str">
        <f>IFERROR(__xludf.DUMMYFUNCTION("IFNA(
IF(
VLOOKUP(C23,IMPORTRANGE(""https://docs.google.com/spreadsheets/d/1rG8iy-kKSFDxhVaU60GJ2bpXc8tZqI1bT8U0Ac0DWTU/edit?usp=sharing"",""REGISTRATION!C:AB""),26,FALSE)
=""No"",
""No Candy"",
""""
),
""""
)"),"")</f>
        <v/>
      </c>
      <c r="F23" s="21" t="str">
        <f>IFERROR(__xludf.DUMMYFUNCTION("IFNA(VLOOKUP(C23,IMPORTRANGE(""https://docs.google.com/spreadsheets/d/1rG8iy-kKSFDxhVaU60GJ2bpXc8tZqI1bT8U0Ac0DWTU/edit?usp=sharing"",""REGISTRATION!C:V""),18,FALSE),"""")"),"")</f>
        <v/>
      </c>
      <c r="G23" s="21" t="str">
        <f>IFERROR(__xludf.DUMMYFUNCTION("IFNA(VLOOKUP(C23,IMPORTRANGE(""https://docs.google.com/spreadsheets/d/1rG8iy-kKSFDxhVaU60GJ2bpXc8tZqI1bT8U0Ac0DWTU/edit?usp=sharing"",""REGISTRATION!C:V""),20,FALSE),"""")"),"")</f>
        <v/>
      </c>
      <c r="H23" s="21" t="str">
        <f>IFERROR(__xludf.DUMMYFUNCTION("IFNA(VLOOKUP(C23,IMPORTRANGE(""https://docs.google.com/spreadsheets/d/1rG8iy-kKSFDxhVaU60GJ2bpXc8tZqI1bT8U0Ac0DWTU/edit?usp=sharing"",""REGISTRATION!C:V""),19,FALSE),"""")"),"")</f>
        <v/>
      </c>
    </row>
    <row r="24">
      <c r="A24" s="30" t="s">
        <v>49</v>
      </c>
      <c r="B24" s="30" t="s">
        <v>50</v>
      </c>
      <c r="C24" s="31" t="s">
        <v>51</v>
      </c>
      <c r="D24" s="32" t="str">
        <f>IFERROR(__xludf.DUMMYFUNCTION("IFNA(
IF(
VLOOKUP(C24,IMPORTRANGE(""https://docs.google.com/spreadsheets/d/1rG8iy-kKSFDxhVaU60GJ2bpXc8tZqI1bT8U0Ac0DWTU/edit?usp=sharing"",""REGISTRATION!C:X""),22,FALSE)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24" s="33" t="str">
        <f>IFERROR(__xludf.DUMMYFUNCTION("IFNA(
IF(
VLOOKUP(C24,IMPORTRANGE(""https://docs.google.com/spreadsheets/d/1rG8iy-kKSFDxhVaU60GJ2bpXc8tZqI1bT8U0Ac0DWTU/edit?usp=sharing"",""REGISTRATION!C:AB""),26,FALSE)
=""No"",
""No Candy"",
""""
),
""""
)"),"")</f>
        <v/>
      </c>
      <c r="F24" s="32" t="str">
        <f>IFERROR(__xludf.DUMMYFUNCTION("IFNA(VLOOKUP(C24,IMPORTRANGE(""https://docs.google.com/spreadsheets/d/1rG8iy-kKSFDxhVaU60GJ2bpXc8tZqI1bT8U0Ac0DWTU/edit?usp=sharing"",""REGISTRATION!C:V""),18,FALSE),"""")"),"None")</f>
        <v>None</v>
      </c>
      <c r="G24" s="32" t="str">
        <f>IFERROR(__xludf.DUMMYFUNCTION("IFNA(VLOOKUP(C24,IMPORTRANGE(""https://docs.google.com/spreadsheets/d/1rG8iy-kKSFDxhVaU60GJ2bpXc8tZqI1bT8U0Ac0DWTU/edit?usp=sharing"",""REGISTRATION!C:V""),20,FALSE),"""")"),"NA")</f>
        <v>NA</v>
      </c>
      <c r="H24" s="32" t="str">
        <f>IFERROR(__xludf.DUMMYFUNCTION("IFNA(VLOOKUP(C24,IMPORTRANGE(""https://docs.google.com/spreadsheets/d/1rG8iy-kKSFDxhVaU60GJ2bpXc8tZqI1bT8U0Ac0DWTU/edit?usp=sharing"",""REGISTRATION!C:V""),19,FALSE),"""")"),"None")</f>
        <v>None</v>
      </c>
    </row>
    <row r="25">
      <c r="C25" s="31" t="s">
        <v>52</v>
      </c>
      <c r="D25" s="32" t="str">
        <f>IFERROR(__xludf.DUMMYFUNCTION("IFNA(
IF(
VLOOKUP(C25,IMPORTRANGE(""https://docs.google.com/spreadsheets/d/1rG8iy-kKSFDxhVaU60GJ2bpXc8tZqI1bT8U0Ac0DWTU/edit?usp=sharing"",""REGISTRATION!C:X""),22,FALSE)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25" s="33" t="str">
        <f>IFERROR(__xludf.DUMMYFUNCTION("IFNA(
IF(
VLOOKUP(C25,IMPORTRANGE(""https://docs.google.com/spreadsheets/d/1rG8iy-kKSFDxhVaU60GJ2bpXc8tZqI1bT8U0Ac0DWTU/edit?usp=sharing"",""REGISTRATION!C:AB""),26,FALSE)
=""No"",
""No Candy"",
""""
),
""""
)"),"")</f>
        <v/>
      </c>
      <c r="F25" s="32" t="str">
        <f>IFERROR(__xludf.DUMMYFUNCTION("IFNA(VLOOKUP(C25,IMPORTRANGE(""https://docs.google.com/spreadsheets/d/1rG8iy-kKSFDxhVaU60GJ2bpXc8tZqI1bT8U0Ac0DWTU/edit?usp=sharing"",""REGISTRATION!C:V""),18,FALSE),"""")"),"None")</f>
        <v>None</v>
      </c>
      <c r="G25" s="32" t="str">
        <f>IFERROR(__xludf.DUMMYFUNCTION("IFNA(VLOOKUP(C25,IMPORTRANGE(""https://docs.google.com/spreadsheets/d/1rG8iy-kKSFDxhVaU60GJ2bpXc8tZqI1bT8U0Ac0DWTU/edit?usp=sharing"",""REGISTRATION!C:V""),20,FALSE),"""")"),"")</f>
        <v/>
      </c>
      <c r="H25" s="32" t="str">
        <f>IFERROR(__xludf.DUMMYFUNCTION("IFNA(VLOOKUP(C25,IMPORTRANGE(""https://docs.google.com/spreadsheets/d/1rG8iy-kKSFDxhVaU60GJ2bpXc8tZqI1bT8U0Ac0DWTU/edit?usp=sharing"",""REGISTRATION!C:V""),19,FALSE),"""")"),"None")</f>
        <v>None</v>
      </c>
    </row>
    <row r="26">
      <c r="C26" s="31" t="s">
        <v>53</v>
      </c>
      <c r="D26" s="32" t="str">
        <f>IFERROR(__xludf.DUMMYFUNCTION("IFNA(
IF(
VLOOKUP(C26,IMPORTRANGE(""https://docs.google.com/spreadsheets/d/1rG8iy-kKSFDxhVaU60GJ2bpXc8tZqI1bT8U0Ac0DWTU/edit?usp=sharing"",""REGISTRATION!C:X""),22,FALSE)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26" s="33" t="str">
        <f>IFERROR(__xludf.DUMMYFUNCTION("IFNA(
IF(
VLOOKUP(C26,IMPORTRANGE(""https://docs.google.com/spreadsheets/d/1rG8iy-kKSFDxhVaU60GJ2bpXc8tZqI1bT8U0Ac0DWTU/edit?usp=sharing"",""REGISTRATION!C:AB""),26,FALSE)
=""No"",
""No Candy"",
""""
),
""""
)"),"")</f>
        <v/>
      </c>
      <c r="F26" s="32" t="str">
        <f>IFERROR(__xludf.DUMMYFUNCTION("IFNA(VLOOKUP(C26,IMPORTRANGE(""https://docs.google.com/spreadsheets/d/1rG8iy-kKSFDxhVaU60GJ2bpXc8tZqI1bT8U0Ac0DWTU/edit?usp=sharing"",""REGISTRATION!C:V""),18,FALSE),"""")"),"None")</f>
        <v>None</v>
      </c>
      <c r="G26" s="32" t="str">
        <f>IFERROR(__xludf.DUMMYFUNCTION("IFNA(VLOOKUP(C26,IMPORTRANGE(""https://docs.google.com/spreadsheets/d/1rG8iy-kKSFDxhVaU60GJ2bpXc8tZqI1bT8U0Ac0DWTU/edit?usp=sharing"",""REGISTRATION!C:V""),20,FALSE),"""")"),"")</f>
        <v/>
      </c>
      <c r="H26" s="32" t="str">
        <f>IFERROR(__xludf.DUMMYFUNCTION("IFNA(VLOOKUP(C26,IMPORTRANGE(""https://docs.google.com/spreadsheets/d/1rG8iy-kKSFDxhVaU60GJ2bpXc8tZqI1bT8U0Ac0DWTU/edit?usp=sharing"",""REGISTRATION!C:V""),19,FALSE),"""")"),"None")</f>
        <v>None</v>
      </c>
    </row>
    <row r="27">
      <c r="C27" s="24" t="s">
        <v>54</v>
      </c>
      <c r="D27" s="25" t="str">
        <f>IFERROR(__xludf.DUMMYFUNCTION("IFNA(
IF(
VLOOKUP(C27,IMPORTRANGE(""https://docs.google.com/spreadsheets/d/1rG8iy-kKSFDxhVaU60GJ2bpXc8tZqI1bT8U0Ac0DWTU/edit?usp=sharing"",""REGISTRATION!C:X""),22,FALSE)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27" s="26" t="str">
        <f>IFERROR(__xludf.DUMMYFUNCTION("IFNA(
IF(
VLOOKUP(C27,IMPORTRANGE(""https://docs.google.com/spreadsheets/d/1rG8iy-kKSFDxhVaU60GJ2bpXc8tZqI1bT8U0Ac0DWTU/edit?usp=sharing"",""REGISTRATION!C:AB""),26,FALSE)
=""No"",
""No Candy"",
""""
),
""""
)"),"")</f>
        <v/>
      </c>
      <c r="F27" s="25" t="str">
        <f>IFERROR(__xludf.DUMMYFUNCTION("IFNA(VLOOKUP(C27,IMPORTRANGE(""https://docs.google.com/spreadsheets/d/1rG8iy-kKSFDxhVaU60GJ2bpXc8tZqI1bT8U0Ac0DWTU/edit?usp=sharing"",""REGISTRATION!C:V""),18,FALSE),"""")"),"None")</f>
        <v>None</v>
      </c>
      <c r="G27" s="25" t="str">
        <f>IFERROR(__xludf.DUMMYFUNCTION("IFNA(VLOOKUP(C27,IMPORTRANGE(""https://docs.google.com/spreadsheets/d/1rG8iy-kKSFDxhVaU60GJ2bpXc8tZqI1bT8U0Ac0DWTU/edit?usp=sharing"",""REGISTRATION!C:V""),20,FALSE),"""")"),"")</f>
        <v/>
      </c>
      <c r="H27" s="25" t="str">
        <f>IFERROR(__xludf.DUMMYFUNCTION("IFNA(VLOOKUP(C27,IMPORTRANGE(""https://docs.google.com/spreadsheets/d/1rG8iy-kKSFDxhVaU60GJ2bpXc8tZqI1bT8U0Ac0DWTU/edit?usp=sharing"",""REGISTRATION!C:V""),19,FALSE),"""")"),"None")</f>
        <v>None</v>
      </c>
    </row>
    <row r="28">
      <c r="C28" s="31" t="s">
        <v>55</v>
      </c>
      <c r="D28" s="32" t="str">
        <f>IFERROR(__xludf.DUMMYFUNCTION("IFNA(
IF(
VLOOKUP(C28,IMPORTRANGE(""https://docs.google.com/spreadsheets/d/1rG8iy-kKSFDxhVaU60GJ2bpXc8tZqI1bT8U0Ac0DWTU/edit?usp=sharing"",""REGISTRATION!C:X""),22,FALSE)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28" s="33" t="str">
        <f>IFERROR(__xludf.DUMMYFUNCTION("IFNA(
IF(
VLOOKUP(C28,IMPORTRANGE(""https://docs.google.com/spreadsheets/d/1rG8iy-kKSFDxhVaU60GJ2bpXc8tZqI1bT8U0Ac0DWTU/edit?usp=sharing"",""REGISTRATION!C:AB""),26,FALSE)
=""No"",
""No Candy"",
""""
),
""""
)"),"")</f>
        <v/>
      </c>
      <c r="F28" s="32" t="str">
        <f>IFERROR(__xludf.DUMMYFUNCTION("IFNA(VLOOKUP(C28,IMPORTRANGE(""https://docs.google.com/spreadsheets/d/1rG8iy-kKSFDxhVaU60GJ2bpXc8tZqI1bT8U0Ac0DWTU/edit?usp=sharing"",""REGISTRATION!C:V""),18,FALSE),"""")"),"None")</f>
        <v>None</v>
      </c>
      <c r="G28" s="32" t="str">
        <f>IFERROR(__xludf.DUMMYFUNCTION("IFNA(VLOOKUP(C28,IMPORTRANGE(""https://docs.google.com/spreadsheets/d/1rG8iy-kKSFDxhVaU60GJ2bpXc8tZqI1bT8U0Ac0DWTU/edit?usp=sharing"",""REGISTRATION!C:V""),20,FALSE),"""")"),"")</f>
        <v/>
      </c>
      <c r="H28" s="32" t="str">
        <f>IFERROR(__xludf.DUMMYFUNCTION("IFNA(VLOOKUP(C28,IMPORTRANGE(""https://docs.google.com/spreadsheets/d/1rG8iy-kKSFDxhVaU60GJ2bpXc8tZqI1bT8U0Ac0DWTU/edit?usp=sharing"",""REGISTRATION!C:V""),19,FALSE),"""")"),"None")</f>
        <v>None</v>
      </c>
    </row>
    <row r="29">
      <c r="C29" s="16" t="s">
        <v>56</v>
      </c>
      <c r="D29" s="17" t="str">
        <f>IFERROR(__xludf.DUMMYFUNCTION("IFNA(
IF(
VLOOKUP(C29,IMPORTRANGE(""https://docs.google.com/spreadsheets/d/1rG8iy-kKSFDxhVaU60GJ2bpXc8tZqI1bT8U0Ac0DWTU/edit?usp=sharing"",""REGISTRATION!C:X""),22,FALSE)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29" s="18" t="str">
        <f>IFERROR(__xludf.DUMMYFUNCTION("IFNA(
IF(
VLOOKUP(C29,IMPORTRANGE(""https://docs.google.com/spreadsheets/d/1rG8iy-kKSFDxhVaU60GJ2bpXc8tZqI1bT8U0Ac0DWTU/edit?usp=sharing"",""REGISTRATION!C:AB""),26,FALSE)
=""No"",
""No Candy"",
""""
),
""""
)"),"")</f>
        <v/>
      </c>
      <c r="F29" s="19" t="str">
        <f>IFERROR(__xludf.DUMMYFUNCTION("IFNA(VLOOKUP(C29,IMPORTRANGE(""https://docs.google.com/spreadsheets/d/1rG8iy-kKSFDxhVaU60GJ2bpXc8tZqI1bT8U0Ac0DWTU/edit?usp=sharing"",""REGISTRATION!C:V""),18,FALSE),"""")"),"Egg, fish and all nuts")</f>
        <v>Egg, fish and all nuts</v>
      </c>
      <c r="G29" s="17" t="str">
        <f>IFERROR(__xludf.DUMMYFUNCTION("IFNA(VLOOKUP(C29,IMPORTRANGE(""https://docs.google.com/spreadsheets/d/1rG8iy-kKSFDxhVaU60GJ2bpXc8tZqI1bT8U0Ac0DWTU/edit?usp=sharing"",""REGISTRATION!C:V""),20,FALSE),"""")"),"")</f>
        <v/>
      </c>
      <c r="H29" s="17" t="str">
        <f>IFERROR(__xludf.DUMMYFUNCTION("IFNA(VLOOKUP(C29,IMPORTRANGE(""https://docs.google.com/spreadsheets/d/1rG8iy-kKSFDxhVaU60GJ2bpXc8tZqI1bT8U0Ac0DWTU/edit?usp=sharing"",""REGISTRATION!C:V""),19,FALSE),"""")"),"None")</f>
        <v>None</v>
      </c>
    </row>
    <row r="30">
      <c r="C30" s="31" t="s">
        <v>57</v>
      </c>
      <c r="D30" s="32" t="str">
        <f>IFERROR(__xludf.DUMMYFUNCTION("IFNA(
IF(
VLOOKUP(C30,IMPORTRANGE(""https://docs.google.com/spreadsheets/d/1rG8iy-kKSFDxhVaU60GJ2bpXc8tZqI1bT8U0Ac0DWTU/edit?usp=sharing"",""REGISTRATION!C:X""),22,FALSE)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30" s="33" t="str">
        <f>IFERROR(__xludf.DUMMYFUNCTION("IFNA(
IF(
VLOOKUP(C30,IMPORTRANGE(""https://docs.google.com/spreadsheets/d/1rG8iy-kKSFDxhVaU60GJ2bpXc8tZqI1bT8U0Ac0DWTU/edit?usp=sharing"",""REGISTRATION!C:AB""),26,FALSE)
=""No"",
""No Candy"",
""""
),
""""
)"),"")</f>
        <v/>
      </c>
      <c r="F30" s="32" t="str">
        <f>IFERROR(__xludf.DUMMYFUNCTION("IFNA(VLOOKUP(C30,IMPORTRANGE(""https://docs.google.com/spreadsheets/d/1rG8iy-kKSFDxhVaU60GJ2bpXc8tZqI1bT8U0Ac0DWTU/edit?usp=sharing"",""REGISTRATION!C:V""),18,FALSE),"""")"),"None")</f>
        <v>None</v>
      </c>
      <c r="G30" s="32" t="str">
        <f>IFERROR(__xludf.DUMMYFUNCTION("IFNA(VLOOKUP(C30,IMPORTRANGE(""https://docs.google.com/spreadsheets/d/1rG8iy-kKSFDxhVaU60GJ2bpXc8tZqI1bT8U0Ac0DWTU/edit?usp=sharing"",""REGISTRATION!C:V""),20,FALSE),"""")"),"")</f>
        <v/>
      </c>
      <c r="H30" s="32" t="str">
        <f>IFERROR(__xludf.DUMMYFUNCTION("IFNA(VLOOKUP(C30,IMPORTRANGE(""https://docs.google.com/spreadsheets/d/1rG8iy-kKSFDxhVaU60GJ2bpXc8tZqI1bT8U0Ac0DWTU/edit?usp=sharing"",""REGISTRATION!C:V""),19,FALSE),"""")"),"None")</f>
        <v>None</v>
      </c>
    </row>
    <row r="31">
      <c r="C31" s="24" t="s">
        <v>58</v>
      </c>
      <c r="D31" s="25" t="str">
        <f>IFERROR(__xludf.DUMMYFUNCTION("IFNA(
IF(
VLOOKUP(C31,IMPORTRANGE(""https://docs.google.com/spreadsheets/d/1rG8iy-kKSFDxhVaU60GJ2bpXc8tZqI1bT8U0Ac0DWTU/edit?usp=sharing"",""REGISTRATION!C:X""),22,FALSE)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31" s="26" t="str">
        <f>IFERROR(__xludf.DUMMYFUNCTION("IFNA(
IF(
VLOOKUP(C31,IMPORTRANGE(""https://docs.google.com/spreadsheets/d/1rG8iy-kKSFDxhVaU60GJ2bpXc8tZqI1bT8U0Ac0DWTU/edit?usp=sharing"",""REGISTRATION!C:AB""),26,FALSE)
=""No"",
""No Candy"",
""""
),
""""
)"),"")</f>
        <v/>
      </c>
      <c r="F31" s="25" t="str">
        <f>IFERROR(__xludf.DUMMYFUNCTION("IFNA(VLOOKUP(C31,IMPORTRANGE(""https://docs.google.com/spreadsheets/d/1rG8iy-kKSFDxhVaU60GJ2bpXc8tZqI1bT8U0Ac0DWTU/edit?usp=sharing"",""REGISTRATION!C:V""),18,FALSE),"""")"),"None")</f>
        <v>None</v>
      </c>
      <c r="G31" s="25"/>
      <c r="H31" s="25" t="str">
        <f>IFERROR(__xludf.DUMMYFUNCTION("IFNA(VLOOKUP(C31,IMPORTRANGE(""https://docs.google.com/spreadsheets/d/1rG8iy-kKSFDxhVaU60GJ2bpXc8tZqI1bT8U0Ac0DWTU/edit?usp=sharing"",""REGISTRATION!C:V""),19,FALSE),"""")"),"None")</f>
        <v>None</v>
      </c>
    </row>
    <row r="32">
      <c r="C32" s="24" t="s">
        <v>59</v>
      </c>
      <c r="D32" s="25" t="str">
        <f>IFERROR(__xludf.DUMMYFUNCTION("IFNA(
IF(
VLOOKUP(C32,IMPORTRANGE(""https://docs.google.com/spreadsheets/d/1rG8iy-kKSFDxhVaU60GJ2bpXc8tZqI1bT8U0Ac0DWTU/edit?usp=sharing"",""REGISTRATION!C:X""),22,FALSE)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32" s="26" t="str">
        <f>IFERROR(__xludf.DUMMYFUNCTION("IFNA(
IF(
VLOOKUP(C32,IMPORTRANGE(""https://docs.google.com/spreadsheets/d/1rG8iy-kKSFDxhVaU60GJ2bpXc8tZqI1bT8U0Ac0DWTU/edit?usp=sharing"",""REGISTRATION!C:AB""),26,FALSE)
=""No"",
""No Candy"",
""""
),
""""
)"),"")</f>
        <v/>
      </c>
      <c r="F32" s="25" t="str">
        <f>IFERROR(__xludf.DUMMYFUNCTION("IFNA(VLOOKUP(C32,IMPORTRANGE(""https://docs.google.com/spreadsheets/d/1rG8iy-kKSFDxhVaU60GJ2bpXc8tZqI1bT8U0Ac0DWTU/edit?usp=sharing"",""REGISTRATION!C:V""),18,FALSE),"""")"),"None")</f>
        <v>None</v>
      </c>
      <c r="G32" s="25" t="str">
        <f>IFERROR(__xludf.DUMMYFUNCTION("IFNA(VLOOKUP(C32,IMPORTRANGE(""https://docs.google.com/spreadsheets/d/1rG8iy-kKSFDxhVaU60GJ2bpXc8tZqI1bT8U0Ac0DWTU/edit?usp=sharing"",""REGISTRATION!C:V""),20,FALSE),"""")"),"")</f>
        <v/>
      </c>
      <c r="H32" s="25" t="str">
        <f>IFERROR(__xludf.DUMMYFUNCTION("IFNA(VLOOKUP(C32,IMPORTRANGE(""https://docs.google.com/spreadsheets/d/1rG8iy-kKSFDxhVaU60GJ2bpXc8tZqI1bT8U0Ac0DWTU/edit?usp=sharing"",""REGISTRATION!C:V""),19,FALSE),"""")"),"None")</f>
        <v>None</v>
      </c>
    </row>
    <row r="33">
      <c r="C33" s="31" t="s">
        <v>60</v>
      </c>
      <c r="D33" s="32" t="str">
        <f>IFERROR(__xludf.DUMMYFUNCTION("IFNA(
IF(
VLOOKUP(C33,IMPORTRANGE(""https://docs.google.com/spreadsheets/d/1rG8iy-kKSFDxhVaU60GJ2bpXc8tZqI1bT8U0Ac0DWTU/edit?usp=sharing"",""REGISTRATION!C:X""),22,FALSE)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33" s="33" t="str">
        <f>IFERROR(__xludf.DUMMYFUNCTION("IFNA(
IF(
VLOOKUP(C33,IMPORTRANGE(""https://docs.google.com/spreadsheets/d/1rG8iy-kKSFDxhVaU60GJ2bpXc8tZqI1bT8U0Ac0DWTU/edit?usp=sharing"",""REGISTRATION!C:AB""),26,FALSE)
=""No"",
""No Candy"",
""""
),
""""
)"),"")</f>
        <v/>
      </c>
      <c r="F33" s="32" t="str">
        <f>IFERROR(__xludf.DUMMYFUNCTION("IFNA(VLOOKUP(C33,IMPORTRANGE(""https://docs.google.com/spreadsheets/d/1rG8iy-kKSFDxhVaU60GJ2bpXc8tZqI1bT8U0Ac0DWTU/edit?usp=sharing"",""REGISTRATION!C:V""),18,FALSE),"""")"),"None")</f>
        <v>None</v>
      </c>
      <c r="G33" s="32" t="str">
        <f>IFERROR(__xludf.DUMMYFUNCTION("IFNA(VLOOKUP(C33,IMPORTRANGE(""https://docs.google.com/spreadsheets/d/1rG8iy-kKSFDxhVaU60GJ2bpXc8tZqI1bT8U0Ac0DWTU/edit?usp=sharing"",""REGISTRATION!C:V""),20,FALSE),"""")"),"")</f>
        <v/>
      </c>
      <c r="H33" s="32" t="str">
        <f>IFERROR(__xludf.DUMMYFUNCTION("IFNA(VLOOKUP(C33,IMPORTRANGE(""https://docs.google.com/spreadsheets/d/1rG8iy-kKSFDxhVaU60GJ2bpXc8tZqI1bT8U0Ac0DWTU/edit?usp=sharing"",""REGISTRATION!C:V""),19,FALSE),"""")"),"None")</f>
        <v>None</v>
      </c>
    </row>
    <row r="34" ht="27.75" customHeight="1">
      <c r="C34" s="31" t="s">
        <v>61</v>
      </c>
      <c r="D34" s="32" t="str">
        <f>IFERROR(__xludf.DUMMYFUNCTION("IFNA(
IF(
VLOOKUP(C34,IMPORTRANGE(""https://docs.google.com/spreadsheets/d/1rG8iy-kKSFDxhVaU60GJ2bpXc8tZqI1bT8U0Ac0DWTU/edit?usp=sharing"",""REGISTRATION!C:X""),22,FALSE)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34" s="33" t="str">
        <f>IFERROR(__xludf.DUMMYFUNCTION("IFNA(
IF(
VLOOKUP(C34,IMPORTRANGE(""https://docs.google.com/spreadsheets/d/1rG8iy-kKSFDxhVaU60GJ2bpXc8tZqI1bT8U0Ac0DWTU/edit?usp=sharing"",""REGISTRATION!C:AB""),26,FALSE)
=""No"",
""No Candy"",
""""
),
""""
)"),"")</f>
        <v/>
      </c>
      <c r="F34" s="32" t="str">
        <f>IFERROR(__xludf.DUMMYFUNCTION("IFNA(VLOOKUP(C34,IMPORTRANGE(""https://docs.google.com/spreadsheets/d/1rG8iy-kKSFDxhVaU60GJ2bpXc8tZqI1bT8U0Ac0DWTU/edit?usp=sharing"",""REGISTRATION!C:V""),18,FALSE),"""")"),"None")</f>
        <v>None</v>
      </c>
      <c r="G34" s="32" t="str">
        <f>IFERROR(__xludf.DUMMYFUNCTION("IFNA(VLOOKUP(C34,IMPORTRANGE(""https://docs.google.com/spreadsheets/d/1rG8iy-kKSFDxhVaU60GJ2bpXc8tZqI1bT8U0Ac0DWTU/edit?usp=sharing"",""REGISTRATION!C:V""),20,FALSE),"""")"),"")</f>
        <v/>
      </c>
      <c r="H34" s="32" t="str">
        <f>IFERROR(__xludf.DUMMYFUNCTION("IFNA(VLOOKUP(C34,IMPORTRANGE(""https://docs.google.com/spreadsheets/d/1rG8iy-kKSFDxhVaU60GJ2bpXc8tZqI1bT8U0Ac0DWTU/edit?usp=sharing"",""REGISTRATION!C:V""),19,FALSE),"""")"),"None")</f>
        <v>None</v>
      </c>
    </row>
    <row r="35">
      <c r="C35" s="16" t="s">
        <v>62</v>
      </c>
      <c r="D35" s="17" t="str">
        <f>IFERROR(__xludf.DUMMYFUNCTION("IFNA(
IF(
VLOOKUP(C35,IMPORTRANGE(""https://docs.google.com/spreadsheets/d/1rG8iy-kKSFDxhVaU60GJ2bpXc8tZqI1bT8U0Ac0DWTU/edit?usp=sharing"",""REGISTRATION!C:X""),22,FALSE)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35" s="18" t="str">
        <f>IFERROR(__xludf.DUMMYFUNCTION("IFNA(
IF(
VLOOKUP(C35,IMPORTRANGE(""https://docs.google.com/spreadsheets/d/1rG8iy-kKSFDxhVaU60GJ2bpXc8tZqI1bT8U0Ac0DWTU/edit?usp=sharing"",""REGISTRATION!C:AB""),26,FALSE)
=""No"",
""No Candy"",
""""
),
""""
)"),"")</f>
        <v/>
      </c>
      <c r="F35" s="19" t="str">
        <f>IFERROR(__xludf.DUMMYFUNCTION("IFNA(VLOOKUP(C35,IMPORTRANGE(""https://docs.google.com/spreadsheets/d/1rG8iy-kKSFDxhVaU60GJ2bpXc8tZqI1bT8U0Ac0DWTU/edit?usp=sharing"",""REGISTRATION!C:V""),18,FALSE),"""")"),"Tree nuts, chickpeas, peas")</f>
        <v>Tree nuts, chickpeas, peas</v>
      </c>
      <c r="G35" s="17" t="str">
        <f>IFERROR(__xludf.DUMMYFUNCTION("IFNA(VLOOKUP(C35,IMPORTRANGE(""https://docs.google.com/spreadsheets/d/1rG8iy-kKSFDxhVaU60GJ2bpXc8tZqI1bT8U0Ac0DWTU/edit?usp=sharing"",""REGISTRATION!C:V""),20,FALSE),"""")"),"")</f>
        <v/>
      </c>
      <c r="H35" s="19" t="str">
        <f>IFERROR(__xludf.DUMMYFUNCTION("IFNA(VLOOKUP(C35,IMPORTRANGE(""https://docs.google.com/spreadsheets/d/1rG8iy-kKSFDxhVaU60GJ2bpXc8tZqI1bT8U0Ac0DWTU/edit?usp=sharing"",""REGISTRATION!C:V""),19,FALSE),"""")"),"Asthma")</f>
        <v>Asthma</v>
      </c>
    </row>
    <row r="36">
      <c r="C36" s="31" t="s">
        <v>63</v>
      </c>
      <c r="D36" s="32" t="str">
        <f>IFERROR(__xludf.DUMMYFUNCTION("IFNA(
IF(
VLOOKUP(C36,IMPORTRANGE(""https://docs.google.com/spreadsheets/d/1rG8iy-kKSFDxhVaU60GJ2bpXc8tZqI1bT8U0Ac0DWTU/edit?usp=sharing"",""REGISTRATION!C:X""),22,FALSE)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36" s="33" t="str">
        <f>IFERROR(__xludf.DUMMYFUNCTION("IFNA(
IF(
VLOOKUP(C36,IMPORTRANGE(""https://docs.google.com/spreadsheets/d/1rG8iy-kKSFDxhVaU60GJ2bpXc8tZqI1bT8U0Ac0DWTU/edit?usp=sharing"",""REGISTRATION!C:AB""),26,FALSE)
=""No"",
""No Candy"",
""""
),
""""
)"),"")</f>
        <v/>
      </c>
      <c r="F36" s="32" t="str">
        <f>IFERROR(__xludf.DUMMYFUNCTION("IFNA(VLOOKUP(C36,IMPORTRANGE(""https://docs.google.com/spreadsheets/d/1rG8iy-kKSFDxhVaU60GJ2bpXc8tZqI1bT8U0Ac0DWTU/edit?usp=sharing"",""REGISTRATION!C:V""),18,FALSE),"""")"),"None")</f>
        <v>None</v>
      </c>
      <c r="G36" s="32" t="str">
        <f>IFERROR(__xludf.DUMMYFUNCTION("IFNA(VLOOKUP(C36,IMPORTRANGE(""https://docs.google.com/spreadsheets/d/1rG8iy-kKSFDxhVaU60GJ2bpXc8tZqI1bT8U0Ac0DWTU/edit?usp=sharing"",""REGISTRATION!C:V""),20,FALSE),"""")"),"")</f>
        <v/>
      </c>
      <c r="H36" s="32" t="str">
        <f>IFERROR(__xludf.DUMMYFUNCTION("IFNA(VLOOKUP(C36,IMPORTRANGE(""https://docs.google.com/spreadsheets/d/1rG8iy-kKSFDxhVaU60GJ2bpXc8tZqI1bT8U0Ac0DWTU/edit?usp=sharing"",""REGISTRATION!C:V""),19,FALSE),"""")"),"None")</f>
        <v>None</v>
      </c>
    </row>
    <row r="37">
      <c r="C37" s="34" t="s">
        <v>64</v>
      </c>
      <c r="D37" s="35" t="str">
        <f>IFERROR(__xludf.DUMMYFUNCTION("IFNA(
IF(
VLOOKUP(C37,IMPORTRANGE(""https://docs.google.com/spreadsheets/d/1rG8iy-kKSFDxhVaU60GJ2bpXc8tZqI1bT8U0Ac0DWTU/edit?usp=sharing"",""REGISTRATION!C:X""),22,FALSE)
=""I qualify for Free and Reduced Lunch and WOULD like lunch to be provided for my c"&amp;"hild."",
""Yes"",
""""
),
""""
)"),"Yes")</f>
        <v>Yes</v>
      </c>
      <c r="E37" s="36" t="str">
        <f>IFERROR(__xludf.DUMMYFUNCTION("IFNA(
IF(
VLOOKUP(C37,IMPORTRANGE(""https://docs.google.com/spreadsheets/d/1rG8iy-kKSFDxhVaU60GJ2bpXc8tZqI1bT8U0Ac0DWTU/edit?usp=sharing"",""REGISTRATION!C:AB""),26,FALSE)
=""No"",
""No Candy"",
""""
),
""""
)"),"")</f>
        <v/>
      </c>
      <c r="F37" s="37" t="str">
        <f>IFERROR(__xludf.DUMMYFUNCTION("IFNA(VLOOKUP(C37,IMPORTRANGE(""https://docs.google.com/spreadsheets/d/1rG8iy-kKSFDxhVaU60GJ2bpXc8tZqI1bT8U0Ac0DWTU/edit?usp=sharing"",""REGISTRATION!C:V""),18,FALSE),"""")"),"None")</f>
        <v>None</v>
      </c>
      <c r="G37" s="37" t="str">
        <f>IFERROR(__xludf.DUMMYFUNCTION("IFNA(VLOOKUP(C37,IMPORTRANGE(""https://docs.google.com/spreadsheets/d/1rG8iy-kKSFDxhVaU60GJ2bpXc8tZqI1bT8U0Ac0DWTU/edit?usp=sharing"",""REGISTRATION!C:V""),20,FALSE),"""")"),"")</f>
        <v/>
      </c>
      <c r="H37" s="37" t="str">
        <f>IFERROR(__xludf.DUMMYFUNCTION("IFNA(VLOOKUP(C37,IMPORTRANGE(""https://docs.google.com/spreadsheets/d/1rG8iy-kKSFDxhVaU60GJ2bpXc8tZqI1bT8U0Ac0DWTU/edit?usp=sharing"",""REGISTRATION!C:V""),19,FALSE),"""")"),"None")</f>
        <v>None</v>
      </c>
    </row>
    <row r="38">
      <c r="C38" s="31" t="s">
        <v>65</v>
      </c>
      <c r="D38" s="32" t="str">
        <f>IFERROR(__xludf.DUMMYFUNCTION("IFNA(
IF(
VLOOKUP(C38,IMPORTRANGE(""https://docs.google.com/spreadsheets/d/1rG8iy-kKSFDxhVaU60GJ2bpXc8tZqI1bT8U0Ac0DWTU/edit?usp=sharing"",""REGISTRATION!C:X""),22,FALSE)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38" s="33" t="str">
        <f>IFERROR(__xludf.DUMMYFUNCTION("IFNA(
IF(
VLOOKUP(C38,IMPORTRANGE(""https://docs.google.com/spreadsheets/d/1rG8iy-kKSFDxhVaU60GJ2bpXc8tZqI1bT8U0Ac0DWTU/edit?usp=sharing"",""REGISTRATION!C:AB""),26,FALSE)
=""No"",
""No Candy"",
""""
),
""""
)"),"")</f>
        <v/>
      </c>
      <c r="F38" s="32" t="str">
        <f>IFERROR(__xludf.DUMMYFUNCTION("IFNA(VLOOKUP(C38,IMPORTRANGE(""https://docs.google.com/spreadsheets/d/1rG8iy-kKSFDxhVaU60GJ2bpXc8tZqI1bT8U0Ac0DWTU/edit?usp=sharing"",""REGISTRATION!C:V""),18,FALSE),"""")"),"None")</f>
        <v>None</v>
      </c>
      <c r="G38" s="32" t="str">
        <f>IFERROR(__xludf.DUMMYFUNCTION("IFNA(VLOOKUP(C38,IMPORTRANGE(""https://docs.google.com/spreadsheets/d/1rG8iy-kKSFDxhVaU60GJ2bpXc8tZqI1bT8U0Ac0DWTU/edit?usp=sharing"",""REGISTRATION!C:V""),20,FALSE),"""")"),"")</f>
        <v/>
      </c>
      <c r="H38" s="32" t="str">
        <f>IFERROR(__xludf.DUMMYFUNCTION("IFNA(VLOOKUP(C38,IMPORTRANGE(""https://docs.google.com/spreadsheets/d/1rG8iy-kKSFDxhVaU60GJ2bpXc8tZqI1bT8U0Ac0DWTU/edit?usp=sharing"",""REGISTRATION!C:V""),19,FALSE),"""")"),"None")</f>
        <v>None</v>
      </c>
    </row>
    <row r="39">
      <c r="C39" s="24" t="s">
        <v>66</v>
      </c>
      <c r="D39" s="25" t="str">
        <f>IFERROR(__xludf.DUMMYFUNCTION("IFNA(
IF(
VLOOKUP(C39,IMPORTRANGE(""https://docs.google.com/spreadsheets/d/1rG8iy-kKSFDxhVaU60GJ2bpXc8tZqI1bT8U0Ac0DWTU/edit?usp=sharing"",""REGISTRATION!C:X""),22,FALSE)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39" s="26" t="str">
        <f>IFERROR(__xludf.DUMMYFUNCTION("IFNA(
IF(
VLOOKUP(C39,IMPORTRANGE(""https://docs.google.com/spreadsheets/d/1rG8iy-kKSFDxhVaU60GJ2bpXc8tZqI1bT8U0Ac0DWTU/edit?usp=sharing"",""REGISTRATION!C:AB""),26,FALSE)
=""No"",
""No Candy"",
""""
),
""""
)"),"")</f>
        <v/>
      </c>
      <c r="F39" s="25" t="str">
        <f>IFERROR(__xludf.DUMMYFUNCTION("IFNA(VLOOKUP(C39,IMPORTRANGE(""https://docs.google.com/spreadsheets/d/1rG8iy-kKSFDxhVaU60GJ2bpXc8tZqI1bT8U0Ac0DWTU/edit?usp=sharing"",""REGISTRATION!C:V""),18,FALSE),"""")"),"None")</f>
        <v>None</v>
      </c>
      <c r="G39" s="25" t="str">
        <f>IFERROR(__xludf.DUMMYFUNCTION("IFNA(VLOOKUP(C39,IMPORTRANGE(""https://docs.google.com/spreadsheets/d/1rG8iy-kKSFDxhVaU60GJ2bpXc8tZqI1bT8U0Ac0DWTU/edit?usp=sharing"",""REGISTRATION!C:V""),20,FALSE),"""")"),"")</f>
        <v/>
      </c>
      <c r="H39" s="25" t="str">
        <f>IFERROR(__xludf.DUMMYFUNCTION("IFNA(VLOOKUP(C39,IMPORTRANGE(""https://docs.google.com/spreadsheets/d/1rG8iy-kKSFDxhVaU60GJ2bpXc8tZqI1bT8U0Ac0DWTU/edit?usp=sharing"",""REGISTRATION!C:V""),19,FALSE),"""")"),"None")</f>
        <v>None</v>
      </c>
    </row>
    <row r="40">
      <c r="C40" s="38" t="s">
        <v>67</v>
      </c>
      <c r="D40" s="39" t="str">
        <f>IFERROR(__xludf.DUMMYFUNCTION("IFNA(
IF(
VLOOKUP(C40,IMPORTRANGE(""https://docs.google.com/spreadsheets/d/1rG8iy-kKSFDxhVaU60GJ2bpXc8tZqI1bT8U0Ac0DWTU/edit?usp=sharing"",""REGISTRATION!C:X""),22,FALSE)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40" s="40" t="str">
        <f>IFERROR(__xludf.DUMMYFUNCTION("IFNA(
IF(
VLOOKUP(C40,IMPORTRANGE(""https://docs.google.com/spreadsheets/d/1rG8iy-kKSFDxhVaU60GJ2bpXc8tZqI1bT8U0Ac0DWTU/edit?usp=sharing"",""REGISTRATION!C:AB""),26,FALSE)
=""No"",
""No Candy"",
""""
),
""""
)"),"No Candy")</f>
        <v>No Candy</v>
      </c>
      <c r="F40" s="41" t="str">
        <f>IFERROR(__xludf.DUMMYFUNCTION("IFNA(VLOOKUP(C40,IMPORTRANGE(""https://docs.google.com/spreadsheets/d/1rG8iy-kKSFDxhVaU60GJ2bpXc8tZqI1bT8U0Ac0DWTU/edit?usp=sharing"",""REGISTRATION!C:V""),18,FALSE),"""")"),"Bee allergy EpiPen ")</f>
        <v>Bee allergy EpiPen </v>
      </c>
      <c r="G40" s="39" t="str">
        <f>IFERROR(__xludf.DUMMYFUNCTION("IFNA(VLOOKUP(C40,IMPORTRANGE(""https://docs.google.com/spreadsheets/d/1rG8iy-kKSFDxhVaU60GJ2bpXc8tZqI1bT8U0Ac0DWTU/edit?usp=sharing"",""REGISTRATION!C:V""),20,FALSE),"""")"),"")</f>
        <v/>
      </c>
      <c r="H40" s="39" t="str">
        <f>IFERROR(__xludf.DUMMYFUNCTION("IFNA(VLOOKUP(C40,IMPORTRANGE(""https://docs.google.com/spreadsheets/d/1rG8iy-kKSFDxhVaU60GJ2bpXc8tZqI1bT8U0Ac0DWTU/edit?usp=sharing"",""REGISTRATION!C:V""),19,FALSE),"""")"),"None")</f>
        <v>None</v>
      </c>
    </row>
    <row r="41">
      <c r="C41" s="42"/>
      <c r="D41" s="43" t="str">
        <f>IFERROR(__xludf.DUMMYFUNCTION("IFNA(
IF(
VLOOKUP(C41,IMPORTRANGE(""https://docs.google.com/spreadsheets/d/1rG8iy-kKSFDxhVaU60GJ2bpXc8tZqI1bT8U0Ac0DWTU/edit?usp=sharing"",""REGISTRATION!C:X""),22,FALSE)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41" s="44" t="str">
        <f>IFERROR(__xludf.DUMMYFUNCTION("IFNA(
IF(
VLOOKUP(C41,IMPORTRANGE(""https://docs.google.com/spreadsheets/d/1rG8iy-kKSFDxhVaU60GJ2bpXc8tZqI1bT8U0Ac0DWTU/edit?usp=sharing"",""REGISTRATION!C:AB""),26,FALSE)
=""No"",
""No Candy"",
""""
),
""""
)"),"")</f>
        <v/>
      </c>
      <c r="F41" s="45" t="str">
        <f>IFERROR(__xludf.DUMMYFUNCTION("IFNA(VLOOKUP(C41,IMPORTRANGE(""https://docs.google.com/spreadsheets/d/1rG8iy-kKSFDxhVaU60GJ2bpXc8tZqI1bT8U0Ac0DWTU/edit?usp=sharing"",""REGISTRATION!C:V""),18,FALSE),"""")"),"")</f>
        <v/>
      </c>
      <c r="G41" s="43" t="str">
        <f>IFERROR(__xludf.DUMMYFUNCTION("IFNA(VLOOKUP(C41,IMPORTRANGE(""https://docs.google.com/spreadsheets/d/1rG8iy-kKSFDxhVaU60GJ2bpXc8tZqI1bT8U0Ac0DWTU/edit?usp=sharing"",""REGISTRATION!C:V""),20,FALSE),"""")"),"")</f>
        <v/>
      </c>
      <c r="H41" s="46" t="str">
        <f>IFERROR(__xludf.DUMMYFUNCTION("IFNA(VLOOKUP(C41,IMPORTRANGE(""https://docs.google.com/spreadsheets/d/1rG8iy-kKSFDxhVaU60GJ2bpXc8tZqI1bT8U0Ac0DWTU/edit?usp=sharing"",""REGISTRATION!C:V""),19,FALSE),"""")"),"")</f>
        <v/>
      </c>
    </row>
    <row r="42">
      <c r="C42" s="31"/>
      <c r="D42" s="32" t="str">
        <f>IFERROR(__xludf.DUMMYFUNCTION("IFNA(
IF(
VLOOKUP(C42,IMPORTRANGE(""https://docs.google.com/spreadsheets/d/1rG8iy-kKSFDxhVaU60GJ2bpXc8tZqI1bT8U0Ac0DWTU/edit?usp=sharing"",""REGISTRATION!C:X""),22,FALSE)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42" s="33" t="str">
        <f>IFERROR(__xludf.DUMMYFUNCTION("IFNA(
IF(
VLOOKUP(C42,IMPORTRANGE(""https://docs.google.com/spreadsheets/d/1rG8iy-kKSFDxhVaU60GJ2bpXc8tZqI1bT8U0Ac0DWTU/edit?usp=sharing"",""REGISTRATION!C:AB""),26,FALSE)
=""No"",
""No Candy"",
""""
),
""""
)"),"")</f>
        <v/>
      </c>
      <c r="F42" s="32" t="str">
        <f>IFERROR(__xludf.DUMMYFUNCTION("IFNA(VLOOKUP(C42,IMPORTRANGE(""https://docs.google.com/spreadsheets/d/1rG8iy-kKSFDxhVaU60GJ2bpXc8tZqI1bT8U0Ac0DWTU/edit?usp=sharing"",""REGISTRATION!C:V""),18,FALSE),"""")"),"")</f>
        <v/>
      </c>
      <c r="G42" s="32" t="str">
        <f>IFERROR(__xludf.DUMMYFUNCTION("IFNA(VLOOKUP(C42,IMPORTRANGE(""https://docs.google.com/spreadsheets/d/1rG8iy-kKSFDxhVaU60GJ2bpXc8tZqI1bT8U0Ac0DWTU/edit?usp=sharing"",""REGISTRATION!C:V""),20,FALSE),"""")"),"")</f>
        <v/>
      </c>
      <c r="H42" s="32" t="str">
        <f>IFERROR(__xludf.DUMMYFUNCTION("IFNA(VLOOKUP(C42,IMPORTRANGE(""https://docs.google.com/spreadsheets/d/1rG8iy-kKSFDxhVaU60GJ2bpXc8tZqI1bT8U0Ac0DWTU/edit?usp=sharing"",""REGISTRATION!C:V""),19,FALSE),"""")"),"")</f>
        <v/>
      </c>
    </row>
    <row r="43">
      <c r="C43" s="31"/>
      <c r="D43" s="32" t="str">
        <f>IFERROR(__xludf.DUMMYFUNCTION("IFNA(
IF(
VLOOKUP(C43,IMPORTRANGE(""https://docs.google.com/spreadsheets/d/1rG8iy-kKSFDxhVaU60GJ2bpXc8tZqI1bT8U0Ac0DWTU/edit?usp=sharing"",""REGISTRATION!C:X""),22,FALSE)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43" s="33" t="str">
        <f>IFERROR(__xludf.DUMMYFUNCTION("IFNA(
IF(
VLOOKUP(C43,IMPORTRANGE(""https://docs.google.com/spreadsheets/d/1rG8iy-kKSFDxhVaU60GJ2bpXc8tZqI1bT8U0Ac0DWTU/edit?usp=sharing"",""REGISTRATION!C:AB""),26,FALSE)
=""No"",
""No Candy"",
""""
),
""""
)"),"")</f>
        <v/>
      </c>
      <c r="F43" s="32" t="str">
        <f>IFERROR(__xludf.DUMMYFUNCTION("IFNA(VLOOKUP(C43,IMPORTRANGE(""https://docs.google.com/spreadsheets/d/1rG8iy-kKSFDxhVaU60GJ2bpXc8tZqI1bT8U0Ac0DWTU/edit?usp=sharing"",""REGISTRATION!C:V""),18,FALSE),"""")"),"")</f>
        <v/>
      </c>
      <c r="G43" s="32" t="str">
        <f>IFERROR(__xludf.DUMMYFUNCTION("IFNA(VLOOKUP(C43,IMPORTRANGE(""https://docs.google.com/spreadsheets/d/1rG8iy-kKSFDxhVaU60GJ2bpXc8tZqI1bT8U0Ac0DWTU/edit?usp=sharing"",""REGISTRATION!C:V""),20,FALSE),"""")"),"")</f>
        <v/>
      </c>
      <c r="H43" s="32" t="str">
        <f>IFERROR(__xludf.DUMMYFUNCTION("IFNA(VLOOKUP(C43,IMPORTRANGE(""https://docs.google.com/spreadsheets/d/1rG8iy-kKSFDxhVaU60GJ2bpXc8tZqI1bT8U0Ac0DWTU/edit?usp=sharing"",""REGISTRATION!C:V""),19,FALSE),"""")"),"")</f>
        <v/>
      </c>
    </row>
    <row r="44">
      <c r="A44" s="15" t="s">
        <v>68</v>
      </c>
      <c r="B44" s="15" t="s">
        <v>69</v>
      </c>
      <c r="C44" s="24" t="s">
        <v>70</v>
      </c>
      <c r="D44" s="25" t="str">
        <f>IFERROR(__xludf.DUMMYFUNCTION("IFNA(
IF(
VLOOKUP(C44,IMPORTRANGE(""https://docs.google.com/spreadsheets/d/1rG8iy-kKSFDxhVaU60GJ2bpXc8tZqI1bT8U0Ac0DWTU/edit?usp=sharing"",""REGISTRATION!C:X""),22,FALSE)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44" s="26" t="str">
        <f>IFERROR(__xludf.DUMMYFUNCTION("IFNA(
IF(
VLOOKUP(C44,IMPORTRANGE(""https://docs.google.com/spreadsheets/d/1rG8iy-kKSFDxhVaU60GJ2bpXc8tZqI1bT8U0Ac0DWTU/edit?usp=sharing"",""REGISTRATION!C:AB""),26,FALSE)
=""No"",
""No Candy"",
""""
),
""""
)"),"")</f>
        <v/>
      </c>
      <c r="F44" s="25" t="str">
        <f>IFERROR(__xludf.DUMMYFUNCTION("IFNA(VLOOKUP(C44,IMPORTRANGE(""https://docs.google.com/spreadsheets/d/1rG8iy-kKSFDxhVaU60GJ2bpXc8tZqI1bT8U0Ac0DWTU/edit?usp=sharing"",""REGISTRATION!C:V""),18,FALSE),"""")"),"None")</f>
        <v>None</v>
      </c>
      <c r="G44" s="25" t="str">
        <f>IFERROR(__xludf.DUMMYFUNCTION("IFNA(VLOOKUP(C44,IMPORTRANGE(""https://docs.google.com/spreadsheets/d/1rG8iy-kKSFDxhVaU60GJ2bpXc8tZqI1bT8U0Ac0DWTU/edit?usp=sharing"",""REGISTRATION!C:V""),20,FALSE),"""")"),"")</f>
        <v/>
      </c>
      <c r="H44" s="25" t="str">
        <f>IFERROR(__xludf.DUMMYFUNCTION("IFNA(VLOOKUP(C44,IMPORTRANGE(""https://docs.google.com/spreadsheets/d/1rG8iy-kKSFDxhVaU60GJ2bpXc8tZqI1bT8U0Ac0DWTU/edit?usp=sharing"",""REGISTRATION!C:V""),19,FALSE),"""")"),"None")</f>
        <v>None</v>
      </c>
    </row>
    <row r="45">
      <c r="C45" s="24" t="s">
        <v>71</v>
      </c>
      <c r="D45" s="25" t="str">
        <f>IFERROR(__xludf.DUMMYFUNCTION("IFNA(
IF(
VLOOKUP(C45,IMPORTRANGE(""https://docs.google.com/spreadsheets/d/1rG8iy-kKSFDxhVaU60GJ2bpXc8tZqI1bT8U0Ac0DWTU/edit?usp=sharing"",""REGISTRATION!C:X""),22,FALSE)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45" s="47" t="str">
        <f>IFERROR(__xludf.DUMMYFUNCTION("IFNA(
IF(
VLOOKUP(C45,IMPORTRANGE(""https://docs.google.com/spreadsheets/d/1rG8iy-kKSFDxhVaU60GJ2bpXc8tZqI1bT8U0Ac0DWTU/edit?usp=sharing"",""REGISTRATION!C:AB""),26,FALSE)
=""No"",
""No Candy"",
""""
),
""""
)"),"No Candy")</f>
        <v>No Candy</v>
      </c>
      <c r="F45" s="17" t="str">
        <f>IFERROR(__xludf.DUMMYFUNCTION("IFNA(VLOOKUP(C45,IMPORTRANGE(""https://docs.google.com/spreadsheets/d/1rG8iy-kKSFDxhVaU60GJ2bpXc8tZqI1bT8U0Ac0DWTU/edit?usp=sharing"",""REGISTRATION!C:V""),18,FALSE),"""")"),"None")</f>
        <v>None</v>
      </c>
      <c r="G45" s="17" t="str">
        <f>IFERROR(__xludf.DUMMYFUNCTION("IFNA(VLOOKUP(C45,IMPORTRANGE(""https://docs.google.com/spreadsheets/d/1rG8iy-kKSFDxhVaU60GJ2bpXc8tZqI1bT8U0Ac0DWTU/edit?usp=sharing"",""REGISTRATION!C:V""),20,FALSE),"""")"),"")</f>
        <v/>
      </c>
      <c r="H45" s="17" t="str">
        <f>IFERROR(__xludf.DUMMYFUNCTION("IFNA(VLOOKUP(C45,IMPORTRANGE(""https://docs.google.com/spreadsheets/d/1rG8iy-kKSFDxhVaU60GJ2bpXc8tZqI1bT8U0Ac0DWTU/edit?usp=sharing"",""REGISTRATION!C:V""),19,FALSE),"""")"),"None")</f>
        <v>None</v>
      </c>
    </row>
    <row r="46">
      <c r="C46" s="20" t="s">
        <v>72</v>
      </c>
      <c r="D46" s="21" t="str">
        <f>IFERROR(__xludf.DUMMYFUNCTION("IFNA(
IF(
VLOOKUP(C46,IMPORTRANGE(""https://docs.google.com/spreadsheets/d/1rG8iy-kKSFDxhVaU60GJ2bpXc8tZqI1bT8U0Ac0DWTU/edit?usp=sharing"",""REGISTRATION!C:X""),22,FALSE)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46" s="22" t="str">
        <f>IFERROR(__xludf.DUMMYFUNCTION("IFNA(
IF(
VLOOKUP(C46,IMPORTRANGE(""https://docs.google.com/spreadsheets/d/1rG8iy-kKSFDxhVaU60GJ2bpXc8tZqI1bT8U0Ac0DWTU/edit?usp=sharing"",""REGISTRATION!C:AB""),26,FALSE)
=""No"",
""No Candy"",
""""
),
""""
)"),"")</f>
        <v/>
      </c>
      <c r="F46" s="21" t="str">
        <f>IFERROR(__xludf.DUMMYFUNCTION("IFNA(VLOOKUP(C46,IMPORTRANGE(""https://docs.google.com/spreadsheets/d/1rG8iy-kKSFDxhVaU60GJ2bpXc8tZqI1bT8U0Ac0DWTU/edit?usp=sharing"",""REGISTRATION!C:V""),18,FALSE),"""")"),"None")</f>
        <v>None</v>
      </c>
      <c r="G46" s="21" t="str">
        <f>IFERROR(__xludf.DUMMYFUNCTION("IFNA(VLOOKUP(C46,IMPORTRANGE(""https://docs.google.com/spreadsheets/d/1rG8iy-kKSFDxhVaU60GJ2bpXc8tZqI1bT8U0Ac0DWTU/edit?usp=sharing"",""REGISTRATION!C:V""),20,FALSE),"""")"),"")</f>
        <v/>
      </c>
      <c r="H46" s="23" t="str">
        <f>IFERROR(__xludf.DUMMYFUNCTION("IFNA(VLOOKUP(C46,IMPORTRANGE(""https://docs.google.com/spreadsheets/d/1rG8iy-kKSFDxhVaU60GJ2bpXc8tZqI1bT8U0Ac0DWTU/edit?usp=sharing"",""REGISTRATION!C:V""),19,FALSE),"""")"),"IEP")</f>
        <v>IEP</v>
      </c>
    </row>
    <row r="47">
      <c r="C47" s="20" t="s">
        <v>73</v>
      </c>
      <c r="D47" s="21" t="str">
        <f>IFERROR(__xludf.DUMMYFUNCTION("IFNA(
IF(
VLOOKUP(C47,IMPORTRANGE(""https://docs.google.com/spreadsheets/d/1rG8iy-kKSFDxhVaU60GJ2bpXc8tZqI1bT8U0Ac0DWTU/edit?usp=sharing"",""REGISTRATION!C:X""),22,FALSE)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47" s="22" t="str">
        <f>IFERROR(__xludf.DUMMYFUNCTION("IFNA(
IF(
VLOOKUP(C47,IMPORTRANGE(""https://docs.google.com/spreadsheets/d/1rG8iy-kKSFDxhVaU60GJ2bpXc8tZqI1bT8U0Ac0DWTU/edit?usp=sharing"",""REGISTRATION!C:AB""),26,FALSE)
=""No"",
""No Candy"",
""""
),
""""
)"),"")</f>
        <v/>
      </c>
      <c r="F47" s="21" t="str">
        <f>IFERROR(__xludf.DUMMYFUNCTION("IFNA(VLOOKUP(C47,IMPORTRANGE(""https://docs.google.com/spreadsheets/d/1rG8iy-kKSFDxhVaU60GJ2bpXc8tZqI1bT8U0Ac0DWTU/edit?usp=sharing"",""REGISTRATION!C:V""),18,FALSE),"""")"),"None")</f>
        <v>None</v>
      </c>
      <c r="G47" s="21" t="str">
        <f>IFERROR(__xludf.DUMMYFUNCTION("IFNA(VLOOKUP(C47,IMPORTRANGE(""https://docs.google.com/spreadsheets/d/1rG8iy-kKSFDxhVaU60GJ2bpXc8tZqI1bT8U0Ac0DWTU/edit?usp=sharing"",""REGISTRATION!C:V""),20,FALSE),"""")"),"")</f>
        <v/>
      </c>
      <c r="H47" s="21" t="str">
        <f>IFERROR(__xludf.DUMMYFUNCTION("IFNA(VLOOKUP(C47,IMPORTRANGE(""https://docs.google.com/spreadsheets/d/1rG8iy-kKSFDxhVaU60GJ2bpXc8tZqI1bT8U0Ac0DWTU/edit?usp=sharing"",""REGISTRATION!C:V""),19,FALSE),"""")"),"None")</f>
        <v>None</v>
      </c>
    </row>
    <row r="48">
      <c r="C48" s="24" t="s">
        <v>74</v>
      </c>
      <c r="D48" s="25" t="str">
        <f>IFERROR(__xludf.DUMMYFUNCTION("IFNA(
IF(
VLOOKUP(C48,IMPORTRANGE(""https://docs.google.com/spreadsheets/d/1rG8iy-kKSFDxhVaU60GJ2bpXc8tZqI1bT8U0Ac0DWTU/edit?usp=sharing"",""REGISTRATION!C:X""),22,FALSE)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48" s="26" t="str">
        <f>IFERROR(__xludf.DUMMYFUNCTION("IFNA(
IF(
VLOOKUP(C48,IMPORTRANGE(""https://docs.google.com/spreadsheets/d/1rG8iy-kKSFDxhVaU60GJ2bpXc8tZqI1bT8U0Ac0DWTU/edit?usp=sharing"",""REGISTRATION!C:AB""),26,FALSE)
=""No"",
""No Candy"",
""""
),
""""
)"),"")</f>
        <v/>
      </c>
      <c r="F48" s="25" t="str">
        <f>IFERROR(__xludf.DUMMYFUNCTION("IFNA(VLOOKUP(C48,IMPORTRANGE(""https://docs.google.com/spreadsheets/d/1rG8iy-kKSFDxhVaU60GJ2bpXc8tZqI1bT8U0Ac0DWTU/edit?usp=sharing"",""REGISTRATION!C:V""),18,FALSE),"""")"),"None")</f>
        <v>None</v>
      </c>
      <c r="G48" s="25" t="str">
        <f>IFERROR(__xludf.DUMMYFUNCTION("IFNA(VLOOKUP(C48,IMPORTRANGE(""https://docs.google.com/spreadsheets/d/1rG8iy-kKSFDxhVaU60GJ2bpXc8tZqI1bT8U0Ac0DWTU/edit?usp=sharing"",""REGISTRATION!C:V""),20,FALSE),"""")"),"He has participated in FLL Challenge last year.")</f>
        <v>He has participated in FLL Challenge last year.</v>
      </c>
      <c r="H48" s="25" t="str">
        <f>IFERROR(__xludf.DUMMYFUNCTION("IFNA(VLOOKUP(C48,IMPORTRANGE(""https://docs.google.com/spreadsheets/d/1rG8iy-kKSFDxhVaU60GJ2bpXc8tZqI1bT8U0Ac0DWTU/edit?usp=sharing"",""REGISTRATION!C:V""),19,FALSE),"""")"),"None")</f>
        <v>None</v>
      </c>
    </row>
    <row r="49">
      <c r="C49" s="20" t="s">
        <v>75</v>
      </c>
      <c r="D49" s="21" t="str">
        <f>IFERROR(__xludf.DUMMYFUNCTION("IFNA(
IF(
VLOOKUP(C49,IMPORTRANGE(""https://docs.google.com/spreadsheets/d/1rG8iy-kKSFDxhVaU60GJ2bpXc8tZqI1bT8U0Ac0DWTU/edit?usp=sharing"",""REGISTRATION!C:X""),22,FALSE)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49" s="22" t="str">
        <f>IFERROR(__xludf.DUMMYFUNCTION("IFNA(
IF(
VLOOKUP(C49,IMPORTRANGE(""https://docs.google.com/spreadsheets/d/1rG8iy-kKSFDxhVaU60GJ2bpXc8tZqI1bT8U0Ac0DWTU/edit?usp=sharing"",""REGISTRATION!C:AB""),26,FALSE)
=""No"",
""No Candy"",
""""
),
""""
)"),"")</f>
        <v/>
      </c>
      <c r="F49" s="21" t="str">
        <f>IFERROR(__xludf.DUMMYFUNCTION("IFNA(VLOOKUP(C49,IMPORTRANGE(""https://docs.google.com/spreadsheets/d/1rG8iy-kKSFDxhVaU60GJ2bpXc8tZqI1bT8U0Ac0DWTU/edit?usp=sharing"",""REGISTRATION!C:V""),18,FALSE),"""")"),"None")</f>
        <v>None</v>
      </c>
      <c r="G49" s="21" t="str">
        <f>IFERROR(__xludf.DUMMYFUNCTION("IFNA(VLOOKUP(C49,IMPORTRANGE(""https://docs.google.com/spreadsheets/d/1rG8iy-kKSFDxhVaU60GJ2bpXc8tZqI1bT8U0Ac0DWTU/edit?usp=sharing"",""REGISTRATION!C:V""),20,FALSE),"""")"),"")</f>
        <v/>
      </c>
      <c r="H49" s="21" t="str">
        <f>IFERROR(__xludf.DUMMYFUNCTION("IFNA(VLOOKUP(C49,IMPORTRANGE(""https://docs.google.com/spreadsheets/d/1rG8iy-kKSFDxhVaU60GJ2bpXc8tZqI1bT8U0Ac0DWTU/edit?usp=sharing"",""REGISTRATION!C:V""),19,FALSE),"""")"),"None")</f>
        <v>None</v>
      </c>
    </row>
    <row r="50">
      <c r="C50" s="20" t="s">
        <v>76</v>
      </c>
      <c r="D50" s="21" t="str">
        <f>IFERROR(__xludf.DUMMYFUNCTION("IFNA(
IF(
VLOOKUP(C50,IMPORTRANGE(""https://docs.google.com/spreadsheets/d/1rG8iy-kKSFDxhVaU60GJ2bpXc8tZqI1bT8U0Ac0DWTU/edit?usp=sharing"",""REGISTRATION!C:X""),22,FALSE)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50" s="22" t="str">
        <f>IFERROR(__xludf.DUMMYFUNCTION("IFNA(
IF(
VLOOKUP(C50,IMPORTRANGE(""https://docs.google.com/spreadsheets/d/1rG8iy-kKSFDxhVaU60GJ2bpXc8tZqI1bT8U0Ac0DWTU/edit?usp=sharing"",""REGISTRATION!C:AB""),26,FALSE)
=""No"",
""No Candy"",
""""
),
""""
)"),"")</f>
        <v/>
      </c>
      <c r="F50" s="21" t="str">
        <f>IFERROR(__xludf.DUMMYFUNCTION("IFNA(VLOOKUP(C50,IMPORTRANGE(""https://docs.google.com/spreadsheets/d/1rG8iy-kKSFDxhVaU60GJ2bpXc8tZqI1bT8U0Ac0DWTU/edit?usp=sharing"",""REGISTRATION!C:V""),18,FALSE),"""")"),"None")</f>
        <v>None</v>
      </c>
      <c r="G50" s="21" t="str">
        <f>IFERROR(__xludf.DUMMYFUNCTION("IFNA(VLOOKUP(C50,IMPORTRANGE(""https://docs.google.com/spreadsheets/d/1rG8iy-kKSFDxhVaU60GJ2bpXc8tZqI1bT8U0Ac0DWTU/edit?usp=sharing"",""REGISTRATION!C:V""),20,FALSE),"""")"),"")</f>
        <v/>
      </c>
      <c r="H50" s="21" t="str">
        <f>IFERROR(__xludf.DUMMYFUNCTION("IFNA(VLOOKUP(C50,IMPORTRANGE(""https://docs.google.com/spreadsheets/d/1rG8iy-kKSFDxhVaU60GJ2bpXc8tZqI1bT8U0Ac0DWTU/edit?usp=sharing"",""REGISTRATION!C:V""),19,FALSE),"""")"),"None")</f>
        <v>None</v>
      </c>
    </row>
    <row r="51">
      <c r="C51" s="16" t="s">
        <v>77</v>
      </c>
      <c r="D51" s="17" t="str">
        <f>IFERROR(__xludf.DUMMYFUNCTION("IFNA(
IF(
VLOOKUP(C51,IMPORTRANGE(""https://docs.google.com/spreadsheets/d/1rG8iy-kKSFDxhVaU60GJ2bpXc8tZqI1bT8U0Ac0DWTU/edit?usp=sharing"",""REGISTRATION!C:X""),22,FALSE)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51" s="18" t="str">
        <f>IFERROR(__xludf.DUMMYFUNCTION("IFNA(
IF(
VLOOKUP(C51,IMPORTRANGE(""https://docs.google.com/spreadsheets/d/1rG8iy-kKSFDxhVaU60GJ2bpXc8tZqI1bT8U0Ac0DWTU/edit?usp=sharing"",""REGISTRATION!C:AB""),26,FALSE)
=""No"",
""No Candy"",
""""
),
""""
)"),"")</f>
        <v/>
      </c>
      <c r="F51" s="19" t="str">
        <f>IFERROR(__xludf.DUMMYFUNCTION("IFNA(VLOOKUP(C51,IMPORTRANGE(""https://docs.google.com/spreadsheets/d/1rG8iy-kKSFDxhVaU60GJ2bpXc8tZqI1bT8U0Ac0DWTU/edit?usp=sharing"",""REGISTRATION!C:V""),18,FALSE),"""")"),"No meat or fish")</f>
        <v>No meat or fish</v>
      </c>
      <c r="G51" s="17" t="str">
        <f>IFERROR(__xludf.DUMMYFUNCTION("IFNA(VLOOKUP(C51,IMPORTRANGE(""https://docs.google.com/spreadsheets/d/1rG8iy-kKSFDxhVaU60GJ2bpXc8tZqI1bT8U0Ac0DWTU/edit?usp=sharing"",""REGISTRATION!C:V""),20,FALSE),"""")"),"Rising 6th grader from Campus Middle School ")</f>
        <v>Rising 6th grader from Campus Middle School </v>
      </c>
      <c r="H51" s="17" t="str">
        <f>IFERROR(__xludf.DUMMYFUNCTION("IFNA(VLOOKUP(C51,IMPORTRANGE(""https://docs.google.com/spreadsheets/d/1rG8iy-kKSFDxhVaU60GJ2bpXc8tZqI1bT8U0Ac0DWTU/edit?usp=sharing"",""REGISTRATION!C:V""),19,FALSE),"""")"),"None")</f>
        <v>None</v>
      </c>
    </row>
    <row r="52">
      <c r="C52" s="20" t="s">
        <v>78</v>
      </c>
      <c r="D52" s="21" t="str">
        <f>IFERROR(__xludf.DUMMYFUNCTION("IFNA(
IF(
VLOOKUP(C52,IMPORTRANGE(""https://docs.google.com/spreadsheets/d/1rG8iy-kKSFDxhVaU60GJ2bpXc8tZqI1bT8U0Ac0DWTU/edit?usp=sharing"",""REGISTRATION!C:X""),22,FALSE)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52" s="22" t="str">
        <f>IFERROR(__xludf.DUMMYFUNCTION("IFNA(
IF(
VLOOKUP(C52,IMPORTRANGE(""https://docs.google.com/spreadsheets/d/1rG8iy-kKSFDxhVaU60GJ2bpXc8tZqI1bT8U0Ac0DWTU/edit?usp=sharing"",""REGISTRATION!C:AB""),26,FALSE)
=""No"",
""No Candy"",
""""
),
""""
)"),"")</f>
        <v/>
      </c>
      <c r="F52" s="21" t="str">
        <f>IFERROR(__xludf.DUMMYFUNCTION("IFNA(VLOOKUP(C52,IMPORTRANGE(""https://docs.google.com/spreadsheets/d/1rG8iy-kKSFDxhVaU60GJ2bpXc8tZqI1bT8U0Ac0DWTU/edit?usp=sharing"",""REGISTRATION!C:V""),18,FALSE),"""")"),"None")</f>
        <v>None</v>
      </c>
      <c r="G52" s="21" t="str">
        <f>IFERROR(__xludf.DUMMYFUNCTION("IFNA(VLOOKUP(C52,IMPORTRANGE(""https://docs.google.com/spreadsheets/d/1rG8iy-kKSFDxhVaU60GJ2bpXc8tZqI1bT8U0Ac0DWTU/edit?usp=sharing"",""REGISTRATION!C:V""),20,FALSE),"""")"),"")</f>
        <v/>
      </c>
      <c r="H52" s="21" t="str">
        <f>IFERROR(__xludf.DUMMYFUNCTION("IFNA(VLOOKUP(C52,IMPORTRANGE(""https://docs.google.com/spreadsheets/d/1rG8iy-kKSFDxhVaU60GJ2bpXc8tZqI1bT8U0Ac0DWTU/edit?usp=sharing"",""REGISTRATION!C:V""),19,FALSE),"""")"),"None")</f>
        <v>None</v>
      </c>
    </row>
    <row r="53">
      <c r="C53" s="20" t="s">
        <v>79</v>
      </c>
      <c r="D53" s="21" t="str">
        <f>IFERROR(__xludf.DUMMYFUNCTION("IFNA(
IF(
VLOOKUP(C53,IMPORTRANGE(""https://docs.google.com/spreadsheets/d/1rG8iy-kKSFDxhVaU60GJ2bpXc8tZqI1bT8U0Ac0DWTU/edit?usp=sharing"",""REGISTRATION!C:X""),22,FALSE)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53" s="22" t="str">
        <f>IFERROR(__xludf.DUMMYFUNCTION("IFNA(
IF(
VLOOKUP(C53,IMPORTRANGE(""https://docs.google.com/spreadsheets/d/1rG8iy-kKSFDxhVaU60GJ2bpXc8tZqI1bT8U0Ac0DWTU/edit?usp=sharing"",""REGISTRATION!C:AB""),26,FALSE)
=""No"",
""No Candy"",
""""
),
""""
)"),"")</f>
        <v/>
      </c>
      <c r="F53" s="21" t="str">
        <f>IFERROR(__xludf.DUMMYFUNCTION("IFNA(VLOOKUP(C53,IMPORTRANGE(""https://docs.google.com/spreadsheets/d/1rG8iy-kKSFDxhVaU60GJ2bpXc8tZqI1bT8U0Ac0DWTU/edit?usp=sharing"",""REGISTRATION!C:V""),18,FALSE),"""")"),"None")</f>
        <v>None</v>
      </c>
      <c r="G53" s="21" t="str">
        <f>IFERROR(__xludf.DUMMYFUNCTION("IFNA(VLOOKUP(C53,IMPORTRANGE(""https://docs.google.com/spreadsheets/d/1rG8iy-kKSFDxhVaU60GJ2bpXc8tZqI1bT8U0Ac0DWTU/edit?usp=sharing"",""REGISTRATION!C:V""),20,FALSE),"""")"),"")</f>
        <v/>
      </c>
      <c r="H53" s="21" t="str">
        <f>IFERROR(__xludf.DUMMYFUNCTION("IFNA(VLOOKUP(C53,IMPORTRANGE(""https://docs.google.com/spreadsheets/d/1rG8iy-kKSFDxhVaU60GJ2bpXc8tZqI1bT8U0Ac0DWTU/edit?usp=sharing"",""REGISTRATION!C:V""),19,FALSE),"""")"),"None")</f>
        <v>None</v>
      </c>
    </row>
    <row r="54">
      <c r="C54" s="20" t="s">
        <v>80</v>
      </c>
      <c r="D54" s="21" t="str">
        <f>IFERROR(__xludf.DUMMYFUNCTION("IFNA(
IF(
VLOOKUP(C54,IMPORTRANGE(""https://docs.google.com/spreadsheets/d/1rG8iy-kKSFDxhVaU60GJ2bpXc8tZqI1bT8U0Ac0DWTU/edit?usp=sharing"",""REGISTRATION!C:X""),22,FALSE)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54" s="22" t="str">
        <f>IFERROR(__xludf.DUMMYFUNCTION("IFNA(
IF(
VLOOKUP(C54,IMPORTRANGE(""https://docs.google.com/spreadsheets/d/1rG8iy-kKSFDxhVaU60GJ2bpXc8tZqI1bT8U0Ac0DWTU/edit?usp=sharing"",""REGISTRATION!C:AB""),26,FALSE)
=""No"",
""No Candy"",
""""
),
""""
)"),"")</f>
        <v/>
      </c>
      <c r="F54" s="21" t="str">
        <f>IFERROR(__xludf.DUMMYFUNCTION("IFNA(VLOOKUP(C54,IMPORTRANGE(""https://docs.google.com/spreadsheets/d/1rG8iy-kKSFDxhVaU60GJ2bpXc8tZqI1bT8U0Ac0DWTU/edit?usp=sharing"",""REGISTRATION!C:V""),18,FALSE),"""")"),"None")</f>
        <v>None</v>
      </c>
      <c r="G54" s="21" t="str">
        <f>IFERROR(__xludf.DUMMYFUNCTION("IFNA(VLOOKUP(C54,IMPORTRANGE(""https://docs.google.com/spreadsheets/d/1rG8iy-kKSFDxhVaU60GJ2bpXc8tZqI1bT8U0Ac0DWTU/edit?usp=sharing"",""REGISTRATION!C:V""),20,FALSE),"""")"),"")</f>
        <v/>
      </c>
      <c r="H54" s="21" t="str">
        <f>IFERROR(__xludf.DUMMYFUNCTION("IFNA(VLOOKUP(C54,IMPORTRANGE(""https://docs.google.com/spreadsheets/d/1rG8iy-kKSFDxhVaU60GJ2bpXc8tZqI1bT8U0Ac0DWTU/edit?usp=sharing"",""REGISTRATION!C:V""),19,FALSE),"""")"),"None")</f>
        <v>None</v>
      </c>
    </row>
    <row r="55">
      <c r="C55" s="20" t="s">
        <v>81</v>
      </c>
      <c r="D55" s="21" t="str">
        <f>IFERROR(__xludf.DUMMYFUNCTION("IFNA(
IF(
VLOOKUP(C55,IMPORTRANGE(""https://docs.google.com/spreadsheets/d/1rG8iy-kKSFDxhVaU60GJ2bpXc8tZqI1bT8U0Ac0DWTU/edit?usp=sharing"",""REGISTRATION!C:X""),22,FALSE)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55" s="22" t="str">
        <f>IFERROR(__xludf.DUMMYFUNCTION("IFNA(
IF(
VLOOKUP(C55,IMPORTRANGE(""https://docs.google.com/spreadsheets/d/1rG8iy-kKSFDxhVaU60GJ2bpXc8tZqI1bT8U0Ac0DWTU/edit?usp=sharing"",""REGISTRATION!C:AB""),26,FALSE)
=""No"",
""No Candy"",
""""
),
""""
)"),"")</f>
        <v/>
      </c>
      <c r="F55" s="21" t="str">
        <f>IFERROR(__xludf.DUMMYFUNCTION("IFNA(VLOOKUP(C55,IMPORTRANGE(""https://docs.google.com/spreadsheets/d/1rG8iy-kKSFDxhVaU60GJ2bpXc8tZqI1bT8U0Ac0DWTU/edit?usp=sharing"",""REGISTRATION!C:V""),18,FALSE),"""")"),"None")</f>
        <v>None</v>
      </c>
      <c r="G55" s="21" t="str">
        <f>IFERROR(__xludf.DUMMYFUNCTION("IFNA(VLOOKUP(C55,IMPORTRANGE(""https://docs.google.com/spreadsheets/d/1rG8iy-kKSFDxhVaU60GJ2bpXc8tZqI1bT8U0Ac0DWTU/edit?usp=sharing"",""REGISTRATION!C:V""),20,FALSE),"""")"),"")</f>
        <v/>
      </c>
      <c r="H55" s="21" t="str">
        <f>IFERROR(__xludf.DUMMYFUNCTION("IFNA(VLOOKUP(C55,IMPORTRANGE(""https://docs.google.com/spreadsheets/d/1rG8iy-kKSFDxhVaU60GJ2bpXc8tZqI1bT8U0Ac0DWTU/edit?usp=sharing"",""REGISTRATION!C:V""),19,FALSE),"""")"),"None")</f>
        <v>None</v>
      </c>
    </row>
    <row r="56">
      <c r="C56" s="20" t="s">
        <v>82</v>
      </c>
      <c r="D56" s="21" t="str">
        <f>IFERROR(__xludf.DUMMYFUNCTION("IFNA(
IF(
VLOOKUP(C56,IMPORTRANGE(""https://docs.google.com/spreadsheets/d/1rG8iy-kKSFDxhVaU60GJ2bpXc8tZqI1bT8U0Ac0DWTU/edit?usp=sharing"",""REGISTRATION!C:X""),22,FALSE)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56" s="22" t="str">
        <f>IFERROR(__xludf.DUMMYFUNCTION("IFNA(
IF(
VLOOKUP(C56,IMPORTRANGE(""https://docs.google.com/spreadsheets/d/1rG8iy-kKSFDxhVaU60GJ2bpXc8tZqI1bT8U0Ac0DWTU/edit?usp=sharing"",""REGISTRATION!C:AB""),26,FALSE)
=""No"",
""No Candy"",
""""
),
""""
)"),"")</f>
        <v/>
      </c>
      <c r="F56" s="21" t="str">
        <f>IFERROR(__xludf.DUMMYFUNCTION("IFNA(VLOOKUP(C56,IMPORTRANGE(""https://docs.google.com/spreadsheets/d/1rG8iy-kKSFDxhVaU60GJ2bpXc8tZqI1bT8U0Ac0DWTU/edit?usp=sharing"",""REGISTRATION!C:V""),18,FALSE),"""")"),"None")</f>
        <v>None</v>
      </c>
      <c r="G56" s="21" t="str">
        <f>IFERROR(__xludf.DUMMYFUNCTION("IFNA(VLOOKUP(C56,IMPORTRANGE(""https://docs.google.com/spreadsheets/d/1rG8iy-kKSFDxhVaU60GJ2bpXc8tZqI1bT8U0Ac0DWTU/edit?usp=sharing"",""REGISTRATION!C:V""),20,FALSE),"""")"),"")</f>
        <v/>
      </c>
      <c r="H56" s="23" t="str">
        <f>IFERROR(__xludf.DUMMYFUNCTION("IFNA(VLOOKUP(C56,IMPORTRANGE(""https://docs.google.com/spreadsheets/d/1rG8iy-kKSFDxhVaU60GJ2bpXc8tZqI1bT8U0Ac0DWTU/edit?usp=sharing"",""REGISTRATION!C:V""),19,FALSE),"""")"),"School related performance anxiety")</f>
        <v>School related performance anxiety</v>
      </c>
    </row>
    <row r="57">
      <c r="C57" s="16" t="s">
        <v>83</v>
      </c>
      <c r="D57" s="17" t="str">
        <f>IFERROR(__xludf.DUMMYFUNCTION("IFNA(
IF(
VLOOKUP(C57,IMPORTRANGE(""https://docs.google.com/spreadsheets/d/1rG8iy-kKSFDxhVaU60GJ2bpXc8tZqI1bT8U0Ac0DWTU/edit?usp=sharing"",""REGISTRATION!C:X""),22,FALSE)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57" s="47" t="str">
        <f>IFERROR(__xludf.DUMMYFUNCTION("IFNA(
IF(
VLOOKUP(C57,IMPORTRANGE(""https://docs.google.com/spreadsheets/d/1rG8iy-kKSFDxhVaU60GJ2bpXc8tZqI1bT8U0Ac0DWTU/edit?usp=sharing"",""REGISTRATION!C:AB""),26,FALSE)
=""No"",
""No Candy"",
""""
),
""""
)"),"No Candy")</f>
        <v>No Candy</v>
      </c>
      <c r="F57" s="17" t="str">
        <f>IFERROR(__xludf.DUMMYFUNCTION("IFNA(VLOOKUP(C57,IMPORTRANGE(""https://docs.google.com/spreadsheets/d/1rG8iy-kKSFDxhVaU60GJ2bpXc8tZqI1bT8U0Ac0DWTU/edit?usp=sharing"",""REGISTRATION!C:V""),18,FALSE),"""")"),"None")</f>
        <v>None</v>
      </c>
      <c r="G57" s="17" t="str">
        <f>IFERROR(__xludf.DUMMYFUNCTION("IFNA(VLOOKUP(C57,IMPORTRANGE(""https://docs.google.com/spreadsheets/d/1rG8iy-kKSFDxhVaU60GJ2bpXc8tZqI1bT8U0Ac0DWTU/edit?usp=sharing"",""REGISTRATION!C:V""),20,FALSE),"""")"),"")</f>
        <v/>
      </c>
      <c r="H57" s="17" t="str">
        <f>IFERROR(__xludf.DUMMYFUNCTION("IFNA(VLOOKUP(C57,IMPORTRANGE(""https://docs.google.com/spreadsheets/d/1rG8iy-kKSFDxhVaU60GJ2bpXc8tZqI1bT8U0Ac0DWTU/edit?usp=sharing"",""REGISTRATION!C:V""),19,FALSE),"""")"),"None")</f>
        <v>None</v>
      </c>
    </row>
    <row r="58">
      <c r="C58" s="20" t="s">
        <v>84</v>
      </c>
      <c r="D58" s="23" t="str">
        <f>IFERROR(__xludf.DUMMYFUNCTION("IFNA(
IF(
VLOOKUP(C58,IMPORTRANGE(""https://docs.google.com/spreadsheets/d/1rG8iy-kKSFDxhVaU60GJ2bpXc8tZqI1bT8U0Ac0DWTU/edit?usp=sharing"",""REGISTRATION!C:X""),22,FALSE)
=""I qualify for Free and Reduced Lunch and WOULD like lunch to be provided for my c"&amp;"hild."",
""Yes"",
""""
),
""""
)"),"Yes")</f>
        <v>Yes</v>
      </c>
      <c r="E58" s="22" t="str">
        <f>IFERROR(__xludf.DUMMYFUNCTION("IFNA(
IF(
VLOOKUP(C58,IMPORTRANGE(""https://docs.google.com/spreadsheets/d/1rG8iy-kKSFDxhVaU60GJ2bpXc8tZqI1bT8U0Ac0DWTU/edit?usp=sharing"",""REGISTRATION!C:AB""),26,FALSE)
=""No"",
""No Candy"",
""""
),
""""
)"),"")</f>
        <v/>
      </c>
      <c r="F58" s="21" t="str">
        <f>IFERROR(__xludf.DUMMYFUNCTION("IFNA(VLOOKUP(C58,IMPORTRANGE(""https://docs.google.com/spreadsheets/d/1rG8iy-kKSFDxhVaU60GJ2bpXc8tZqI1bT8U0Ac0DWTU/edit?usp=sharing"",""REGISTRATION!C:V""),18,FALSE),"""")"),"Red 40")</f>
        <v>Red 40</v>
      </c>
      <c r="G58" s="21" t="str">
        <f>IFERROR(__xludf.DUMMYFUNCTION("IFNA(VLOOKUP(C58,IMPORTRANGE(""https://docs.google.com/spreadsheets/d/1rG8iy-kKSFDxhVaU60GJ2bpXc8tZqI1bT8U0Ac0DWTU/edit?usp=sharing"",""REGISTRATION!C:V""),20,FALSE),"""")"),"")</f>
        <v/>
      </c>
      <c r="H58" s="21" t="str">
        <f>IFERROR(__xludf.DUMMYFUNCTION("IFNA(VLOOKUP(C58,IMPORTRANGE(""https://docs.google.com/spreadsheets/d/1rG8iy-kKSFDxhVaU60GJ2bpXc8tZqI1bT8U0Ac0DWTU/edit?usp=sharing"",""REGISTRATION!C:V""),19,FALSE),"""")"),"ADHD")</f>
        <v>ADHD</v>
      </c>
    </row>
    <row r="59">
      <c r="C59" s="20" t="s">
        <v>85</v>
      </c>
      <c r="D59" s="23" t="str">
        <f>IFERROR(__xludf.DUMMYFUNCTION("IFNA(
IF(
VLOOKUP(C59,IMPORTRANGE(""https://docs.google.com/spreadsheets/d/1rG8iy-kKSFDxhVaU60GJ2bpXc8tZqI1bT8U0Ac0DWTU/edit?usp=sharing"",""REGISTRATION!C:X""),22,FALSE)
=""I qualify for Free and Reduced Lunch and WOULD like lunch to be provided for my c"&amp;"hild."",
""Yes"",
""""
),
""""
)"),"Yes")</f>
        <v>Yes</v>
      </c>
      <c r="E59" s="22" t="str">
        <f>IFERROR(__xludf.DUMMYFUNCTION("IFNA(
IF(
VLOOKUP(C59,IMPORTRANGE(""https://docs.google.com/spreadsheets/d/1rG8iy-kKSFDxhVaU60GJ2bpXc8tZqI1bT8U0Ac0DWTU/edit?usp=sharing"",""REGISTRATION!C:AB""),26,FALSE)
=""No"",
""No Candy"",
""""
),
""""
)"),"")</f>
        <v/>
      </c>
      <c r="F59" s="21" t="str">
        <f>IFERROR(__xludf.DUMMYFUNCTION("IFNA(VLOOKUP(C59,IMPORTRANGE(""https://docs.google.com/spreadsheets/d/1rG8iy-kKSFDxhVaU60GJ2bpXc8tZqI1bT8U0Ac0DWTU/edit?usp=sharing"",""REGISTRATION!C:V""),18,FALSE),"""")"),"None")</f>
        <v>None</v>
      </c>
      <c r="G59" s="21" t="str">
        <f>IFERROR(__xludf.DUMMYFUNCTION("IFNA(VLOOKUP(C59,IMPORTRANGE(""https://docs.google.com/spreadsheets/d/1rG8iy-kKSFDxhVaU60GJ2bpXc8tZqI1bT8U0Ac0DWTU/edit?usp=sharing"",""REGISTRATION!C:V""),20,FALSE),"""")"),"")</f>
        <v/>
      </c>
      <c r="H59" s="21" t="str">
        <f>IFERROR(__xludf.DUMMYFUNCTION("IFNA(VLOOKUP(C59,IMPORTRANGE(""https://docs.google.com/spreadsheets/d/1rG8iy-kKSFDxhVaU60GJ2bpXc8tZqI1bT8U0Ac0DWTU/edit?usp=sharing"",""REGISTRATION!C:V""),19,FALSE),"""")"),"None")</f>
        <v>None</v>
      </c>
    </row>
    <row r="60">
      <c r="C60" s="20"/>
      <c r="D60" s="23" t="str">
        <f>IFERROR(__xludf.DUMMYFUNCTION("IFNA(
IF(
VLOOKUP(C60,IMPORTRANGE(""https://docs.google.com/spreadsheets/d/1rG8iy-kKSFDxhVaU60GJ2bpXc8tZqI1bT8U0Ac0DWTU/edit?usp=sharing"",""REGISTRATION!C:X""),22,FALSE)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60" s="22" t="str">
        <f>IFERROR(__xludf.DUMMYFUNCTION("IFNA(
IF(
VLOOKUP(C60,IMPORTRANGE(""https://docs.google.com/spreadsheets/d/1rG8iy-kKSFDxhVaU60GJ2bpXc8tZqI1bT8U0Ac0DWTU/edit?usp=sharing"",""REGISTRATION!C:AB""),26,FALSE)
=""No"",
""No Candy"",
""""
),
""""
)"),"")</f>
        <v/>
      </c>
      <c r="F60" s="21" t="str">
        <f>IFERROR(__xludf.DUMMYFUNCTION("IFNA(VLOOKUP(C60,IMPORTRANGE(""https://docs.google.com/spreadsheets/d/1rG8iy-kKSFDxhVaU60GJ2bpXc8tZqI1bT8U0Ac0DWTU/edit?usp=sharing"",""REGISTRATION!C:V""),18,FALSE),"""")"),"")</f>
        <v/>
      </c>
      <c r="G60" s="21" t="str">
        <f>IFERROR(__xludf.DUMMYFUNCTION("IFNA(VLOOKUP(C60,IMPORTRANGE(""https://docs.google.com/spreadsheets/d/1rG8iy-kKSFDxhVaU60GJ2bpXc8tZqI1bT8U0Ac0DWTU/edit?usp=sharing"",""REGISTRATION!C:V""),20,FALSE),"""")"),"")</f>
        <v/>
      </c>
      <c r="H60" s="21" t="str">
        <f>IFERROR(__xludf.DUMMYFUNCTION("IFNA(VLOOKUP(C60,IMPORTRANGE(""https://docs.google.com/spreadsheets/d/1rG8iy-kKSFDxhVaU60GJ2bpXc8tZqI1bT8U0Ac0DWTU/edit?usp=sharing"",""REGISTRATION!C:V""),19,FALSE),"""")"),"")</f>
        <v/>
      </c>
    </row>
    <row r="61">
      <c r="C61" s="20"/>
      <c r="D61" s="23" t="str">
        <f>IFERROR(__xludf.DUMMYFUNCTION("IFNA(
IF(
VLOOKUP(C61,IMPORTRANGE(""https://docs.google.com/spreadsheets/d/1rG8iy-kKSFDxhVaU60GJ2bpXc8tZqI1bT8U0Ac0DWTU/edit?usp=sharing"",""REGISTRATION!C:X""),22,FALSE)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61" s="22" t="str">
        <f>IFERROR(__xludf.DUMMYFUNCTION("IFNA(
IF(
VLOOKUP(C61,IMPORTRANGE(""https://docs.google.com/spreadsheets/d/1rG8iy-kKSFDxhVaU60GJ2bpXc8tZqI1bT8U0Ac0DWTU/edit?usp=sharing"",""REGISTRATION!C:AB""),26,FALSE)
=""No"",
""No Candy"",
""""
),
""""
)"),"")</f>
        <v/>
      </c>
      <c r="F61" s="21" t="str">
        <f>IFERROR(__xludf.DUMMYFUNCTION("IFNA(VLOOKUP(C61,IMPORTRANGE(""https://docs.google.com/spreadsheets/d/1rG8iy-kKSFDxhVaU60GJ2bpXc8tZqI1bT8U0Ac0DWTU/edit?usp=sharing"",""REGISTRATION!C:V""),18,FALSE),"""")"),"")</f>
        <v/>
      </c>
      <c r="G61" s="21" t="str">
        <f>IFERROR(__xludf.DUMMYFUNCTION("IFNA(VLOOKUP(C61,IMPORTRANGE(""https://docs.google.com/spreadsheets/d/1rG8iy-kKSFDxhVaU60GJ2bpXc8tZqI1bT8U0Ac0DWTU/edit?usp=sharing"",""REGISTRATION!C:V""),20,FALSE),"""")"),"")</f>
        <v/>
      </c>
      <c r="H61" s="21" t="str">
        <f>IFERROR(__xludf.DUMMYFUNCTION("IFNA(VLOOKUP(C61,IMPORTRANGE(""https://docs.google.com/spreadsheets/d/1rG8iy-kKSFDxhVaU60GJ2bpXc8tZqI1bT8U0Ac0DWTU/edit?usp=sharing"",""REGISTRATION!C:V""),19,FALSE),"""")"),"")</f>
        <v/>
      </c>
    </row>
    <row r="62">
      <c r="C62" s="20"/>
      <c r="D62" s="21" t="str">
        <f>IFERROR(__xludf.DUMMYFUNCTION("IFNA(
IF(
VLOOKUP(C62,IMPORTRANGE(""https://docs.google.com/spreadsheets/d/1rG8iy-kKSFDxhVaU60GJ2bpXc8tZqI1bT8U0Ac0DWTU/edit?usp=sharing"",""REGISTRATION!C:X""),22,FALSE)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62" s="22" t="str">
        <f>IFERROR(__xludf.DUMMYFUNCTION("IFNA(
IF(
VLOOKUP(C62,IMPORTRANGE(""https://docs.google.com/spreadsheets/d/1rG8iy-kKSFDxhVaU60GJ2bpXc8tZqI1bT8U0Ac0DWTU/edit?usp=sharing"",""REGISTRATION!C:AB""),26,FALSE)
=""No"",
""No Candy"",
""""
),
""""
)"),"")</f>
        <v/>
      </c>
      <c r="F62" s="21" t="str">
        <f>IFERROR(__xludf.DUMMYFUNCTION("IFNA(VLOOKUP(C62,IMPORTRANGE(""https://docs.google.com/spreadsheets/d/1rG8iy-kKSFDxhVaU60GJ2bpXc8tZqI1bT8U0Ac0DWTU/edit?usp=sharing"",""REGISTRATION!C:V""),18,FALSE),"""")"),"")</f>
        <v/>
      </c>
      <c r="G62" s="21" t="str">
        <f>IFERROR(__xludf.DUMMYFUNCTION("IFNA(VLOOKUP(C62,IMPORTRANGE(""https://docs.google.com/spreadsheets/d/1rG8iy-kKSFDxhVaU60GJ2bpXc8tZqI1bT8U0Ac0DWTU/edit?usp=sharing"",""REGISTRATION!C:V""),20,FALSE),"""")"),"")</f>
        <v/>
      </c>
      <c r="H62" s="21" t="str">
        <f>IFERROR(__xludf.DUMMYFUNCTION("IFNA(VLOOKUP(C62,IMPORTRANGE(""https://docs.google.com/spreadsheets/d/1rG8iy-kKSFDxhVaU60GJ2bpXc8tZqI1bT8U0Ac0DWTU/edit?usp=sharing"",""REGISTRATION!C:V""),19,FALSE),"""")"),"")</f>
        <v/>
      </c>
    </row>
    <row r="63">
      <c r="C63" s="20"/>
      <c r="D63" s="21" t="str">
        <f>IFERROR(__xludf.DUMMYFUNCTION("IFNA(
IF(
VLOOKUP(C63,IMPORTRANGE(""https://docs.google.com/spreadsheets/d/1rG8iy-kKSFDxhVaU60GJ2bpXc8tZqI1bT8U0Ac0DWTU/edit?usp=sharing"",""REGISTRATION!C:X""),22,FALSE)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63" s="22" t="str">
        <f>IFERROR(__xludf.DUMMYFUNCTION("IFNA(
IF(
VLOOKUP(C63,IMPORTRANGE(""https://docs.google.com/spreadsheets/d/1rG8iy-kKSFDxhVaU60GJ2bpXc8tZqI1bT8U0Ac0DWTU/edit?usp=sharing"",""REGISTRATION!C:AB""),26,FALSE)
=""No"",
""No Candy"",
""""
),
""""
)"),"")</f>
        <v/>
      </c>
      <c r="F63" s="21" t="str">
        <f>IFERROR(__xludf.DUMMYFUNCTION("IFNA(VLOOKUP(C63,IMPORTRANGE(""https://docs.google.com/spreadsheets/d/1rG8iy-kKSFDxhVaU60GJ2bpXc8tZqI1bT8U0Ac0DWTU/edit?usp=sharing"",""REGISTRATION!C:V""),18,FALSE),"""")"),"")</f>
        <v/>
      </c>
      <c r="G63" s="21" t="str">
        <f>IFERROR(__xludf.DUMMYFUNCTION("IFNA(VLOOKUP(C63,IMPORTRANGE(""https://docs.google.com/spreadsheets/d/1rG8iy-kKSFDxhVaU60GJ2bpXc8tZqI1bT8U0Ac0DWTU/edit?usp=sharing"",""REGISTRATION!C:V""),20,FALSE),"""")"),"")</f>
        <v/>
      </c>
      <c r="H63" s="21" t="str">
        <f>IFERROR(__xludf.DUMMYFUNCTION("IFNA(VLOOKUP(C63,IMPORTRANGE(""https://docs.google.com/spreadsheets/d/1rG8iy-kKSFDxhVaU60GJ2bpXc8tZqI1bT8U0Ac0DWTU/edit?usp=sharing"",""REGISTRATION!C:V""),19,FALSE),"""")"),"")</f>
        <v/>
      </c>
    </row>
    <row r="64">
      <c r="A64" s="30" t="s">
        <v>86</v>
      </c>
      <c r="B64" s="30" t="s">
        <v>87</v>
      </c>
      <c r="C64" s="31" t="s">
        <v>88</v>
      </c>
      <c r="D64" s="32" t="str">
        <f>IFERROR(__xludf.DUMMYFUNCTION("IFNA(
IF(
VLOOKUP(C64,IMPORTRANGE(""https://docs.google.com/spreadsheets/d/1rG8iy-kKSFDxhVaU60GJ2bpXc8tZqI1bT8U0Ac0DWTU/edit?usp=sharing"",""REGISTRATION!C:X""),22,FALSE)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64" s="33" t="str">
        <f>IFERROR(__xludf.DUMMYFUNCTION("IFNA(
IF(
VLOOKUP(C64,IMPORTRANGE(""https://docs.google.com/spreadsheets/d/1rG8iy-kKSFDxhVaU60GJ2bpXc8tZqI1bT8U0Ac0DWTU/edit?usp=sharing"",""REGISTRATION!C:AB""),26,FALSE)
=""No"",
""No Candy"",
""""
),
""""
)"),"")</f>
        <v/>
      </c>
      <c r="F64" s="32" t="str">
        <f>IFERROR(__xludf.DUMMYFUNCTION("IFNA(VLOOKUP(C64,IMPORTRANGE(""https://docs.google.com/spreadsheets/d/1rG8iy-kKSFDxhVaU60GJ2bpXc8tZqI1bT8U0Ac0DWTU/edit?usp=sharing"",""REGISTRATION!C:V""),18,FALSE),"""")"),"None")</f>
        <v>None</v>
      </c>
      <c r="G64" s="32" t="str">
        <f>IFERROR(__xludf.DUMMYFUNCTION("IFNA(VLOOKUP(C64,IMPORTRANGE(""https://docs.google.com/spreadsheets/d/1rG8iy-kKSFDxhVaU60GJ2bpXc8tZqI1bT8U0Ac0DWTU/edit?usp=sharing"",""REGISTRATION!C:V""),20,FALSE),"""")"),"")</f>
        <v/>
      </c>
      <c r="H64" s="32" t="str">
        <f>IFERROR(__xludf.DUMMYFUNCTION("IFNA(VLOOKUP(C64,IMPORTRANGE(""https://docs.google.com/spreadsheets/d/1rG8iy-kKSFDxhVaU60GJ2bpXc8tZqI1bT8U0Ac0DWTU/edit?usp=sharing"",""REGISTRATION!C:V""),19,FALSE),"""")"),"None")</f>
        <v>None</v>
      </c>
    </row>
    <row r="65">
      <c r="C65" s="16" t="s">
        <v>89</v>
      </c>
      <c r="D65" s="17" t="str">
        <f>IFERROR(__xludf.DUMMYFUNCTION("IFNA(
IF(
VLOOKUP(C65,IMPORTRANGE(""https://docs.google.com/spreadsheets/d/1rG8iy-kKSFDxhVaU60GJ2bpXc8tZqI1bT8U0Ac0DWTU/edit?usp=sharing"",""REGISTRATION!C:X""),22,FALSE)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65" s="18" t="str">
        <f>IFERROR(__xludf.DUMMYFUNCTION("IFNA(
IF(
VLOOKUP(C65,IMPORTRANGE(""https://docs.google.com/spreadsheets/d/1rG8iy-kKSFDxhVaU60GJ2bpXc8tZqI1bT8U0Ac0DWTU/edit?usp=sharing"",""REGISTRATION!C:AB""),26,FALSE)
=""No"",
""No Candy"",
""""
),
""""
)"),"")</f>
        <v/>
      </c>
      <c r="F65" s="19" t="str">
        <f>IFERROR(__xludf.DUMMYFUNCTION("IFNA(VLOOKUP(C65,IMPORTRANGE(""https://docs.google.com/spreadsheets/d/1rG8iy-kKSFDxhVaU60GJ2bpXc8tZqI1bT8U0Ac0DWTU/edit?usp=sharing"",""REGISTRATION!C:V""),18,FALSE),"""")"),"No beef or pork, please.")</f>
        <v>No beef or pork, please.</v>
      </c>
      <c r="G65" s="17" t="str">
        <f>IFERROR(__xludf.DUMMYFUNCTION("IFNA(VLOOKUP(C65,IMPORTRANGE(""https://docs.google.com/spreadsheets/d/1rG8iy-kKSFDxhVaU60GJ2bpXc8tZqI1bT8U0Ac0DWTU/edit?usp=sharing"",""REGISTRATION!C:V""),20,FALSE),"""")"),"")</f>
        <v/>
      </c>
      <c r="H65" s="17" t="str">
        <f>IFERROR(__xludf.DUMMYFUNCTION("IFNA(VLOOKUP(C65,IMPORTRANGE(""https://docs.google.com/spreadsheets/d/1rG8iy-kKSFDxhVaU60GJ2bpXc8tZqI1bT8U0Ac0DWTU/edit?usp=sharing"",""REGISTRATION!C:V""),19,FALSE),"""")"),"None")</f>
        <v>None</v>
      </c>
    </row>
    <row r="66">
      <c r="C66" s="31" t="s">
        <v>90</v>
      </c>
      <c r="D66" s="32" t="str">
        <f>IFERROR(__xludf.DUMMYFUNCTION("IFNA(
IF(
VLOOKUP(C66,IMPORTRANGE(""https://docs.google.com/spreadsheets/d/1rG8iy-kKSFDxhVaU60GJ2bpXc8tZqI1bT8U0Ac0DWTU/edit?usp=sharing"",""REGISTRATION!C:X""),22,FALSE)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66" s="33" t="str">
        <f>IFERROR(__xludf.DUMMYFUNCTION("IFNA(
IF(
VLOOKUP(C66,IMPORTRANGE(""https://docs.google.com/spreadsheets/d/1rG8iy-kKSFDxhVaU60GJ2bpXc8tZqI1bT8U0Ac0DWTU/edit?usp=sharing"",""REGISTRATION!C:AB""),26,FALSE)
=""No"",
""No Candy"",
""""
),
""""
)"),"")</f>
        <v/>
      </c>
      <c r="F66" s="32" t="str">
        <f>IFERROR(__xludf.DUMMYFUNCTION("IFNA(VLOOKUP(C66,IMPORTRANGE(""https://docs.google.com/spreadsheets/d/1rG8iy-kKSFDxhVaU60GJ2bpXc8tZqI1bT8U0Ac0DWTU/edit?usp=sharing"",""REGISTRATION!C:V""),18,FALSE),"""")"),"Will inform.")</f>
        <v>Will inform.</v>
      </c>
      <c r="G66" s="32" t="str">
        <f>IFERROR(__xludf.DUMMYFUNCTION("IFNA(VLOOKUP(C66,IMPORTRANGE(""https://docs.google.com/spreadsheets/d/1rG8iy-kKSFDxhVaU60GJ2bpXc8tZqI1bT8U0Ac0DWTU/edit?usp=sharing"",""REGISTRATION!C:V""),20,FALSE),"""")"),"")</f>
        <v/>
      </c>
      <c r="H66" s="32" t="str">
        <f>IFERROR(__xludf.DUMMYFUNCTION("IFNA(VLOOKUP(C66,IMPORTRANGE(""https://docs.google.com/spreadsheets/d/1rG8iy-kKSFDxhVaU60GJ2bpXc8tZqI1bT8U0Ac0DWTU/edit?usp=sharing"",""REGISTRATION!C:V""),19,FALSE),"""")"),"None")</f>
        <v>None</v>
      </c>
    </row>
    <row r="67">
      <c r="C67" s="24" t="s">
        <v>91</v>
      </c>
      <c r="D67" s="25" t="str">
        <f>IFERROR(__xludf.DUMMYFUNCTION("IFNA(
IF(
VLOOKUP(C67,IMPORTRANGE(""https://docs.google.com/spreadsheets/d/1rG8iy-kKSFDxhVaU60GJ2bpXc8tZqI1bT8U0Ac0DWTU/edit?usp=sharing"",""REGISTRATION!C:X""),22,FALSE)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67" s="26" t="str">
        <f>IFERROR(__xludf.DUMMYFUNCTION("IFNA(
IF(
VLOOKUP(C67,IMPORTRANGE(""https://docs.google.com/spreadsheets/d/1rG8iy-kKSFDxhVaU60GJ2bpXc8tZqI1bT8U0Ac0DWTU/edit?usp=sharing"",""REGISTRATION!C:AB""),26,FALSE)
=""No"",
""No Candy"",
""""
),
""""
)"),"")</f>
        <v/>
      </c>
      <c r="F67" s="25" t="str">
        <f>IFERROR(__xludf.DUMMYFUNCTION("IFNA(VLOOKUP(C67,IMPORTRANGE(""https://docs.google.com/spreadsheets/d/1rG8iy-kKSFDxhVaU60GJ2bpXc8tZqI1bT8U0Ac0DWTU/edit?usp=sharing"",""REGISTRATION!C:V""),18,FALSE),"""")"),"None")</f>
        <v>None</v>
      </c>
      <c r="G67" s="25" t="str">
        <f>IFERROR(__xludf.DUMMYFUNCTION("IFNA(VLOOKUP(C67,IMPORTRANGE(""https://docs.google.com/spreadsheets/d/1rG8iy-kKSFDxhVaU60GJ2bpXc8tZqI1bT8U0Ac0DWTU/edit?usp=sharing"",""REGISTRATION!C:V""),20,FALSE),"""")"),"")</f>
        <v/>
      </c>
      <c r="H67" s="25" t="str">
        <f>IFERROR(__xludf.DUMMYFUNCTION("IFNA(VLOOKUP(C67,IMPORTRANGE(""https://docs.google.com/spreadsheets/d/1rG8iy-kKSFDxhVaU60GJ2bpXc8tZqI1bT8U0Ac0DWTU/edit?usp=sharing"",""REGISTRATION!C:V""),19,FALSE),"""")"),"None")</f>
        <v>None</v>
      </c>
    </row>
    <row r="68">
      <c r="C68" s="48" t="s">
        <v>92</v>
      </c>
      <c r="D68" s="32"/>
      <c r="E68" s="33"/>
      <c r="F68" s="32" t="str">
        <f>IFERROR(__xludf.DUMMYFUNCTION("IFNA(VLOOKUP(C68,IMPORTRANGE(""https://docs.google.com/spreadsheets/d/1rG8iy-kKSFDxhVaU60GJ2bpXc8tZqI1bT8U0Ac0DWTU/edit?usp=sharing"",""REGISTRATION!C:V""),18,FALSE),"""")"),"None")</f>
        <v>None</v>
      </c>
      <c r="G68" s="32" t="str">
        <f>IFERROR(__xludf.DUMMYFUNCTION("IFNA(VLOOKUP(C68,IMPORTRANGE(""https://docs.google.com/spreadsheets/d/1rG8iy-kKSFDxhVaU60GJ2bpXc8tZqI1bT8U0Ac0DWTU/edit?usp=sharing"",""REGISTRATION!C:V""),20,FALSE),"""")"),"None")</f>
        <v>None</v>
      </c>
      <c r="H68" s="32" t="str">
        <f>IFERROR(__xludf.DUMMYFUNCTION("IFNA(VLOOKUP(C68,IMPORTRANGE(""https://docs.google.com/spreadsheets/d/1rG8iy-kKSFDxhVaU60GJ2bpXc8tZqI1bT8U0Ac0DWTU/edit?usp=sharing"",""REGISTRATION!C:V""),19,FALSE),"""")"),"None")</f>
        <v>None</v>
      </c>
    </row>
    <row r="69">
      <c r="C69" s="48" t="s">
        <v>93</v>
      </c>
      <c r="D69" s="32" t="str">
        <f>IFERROR(__xludf.DUMMYFUNCTION("IFNA(
IF(
VLOOKUP(C69,IMPORTRANGE(""https://docs.google.com/spreadsheets/d/1rG8iy-kKSFDxhVaU60GJ2bpXc8tZqI1bT8U0Ac0DWTU/edit?usp=sharing"",""REGISTRATION!C:X""),22,FALSE)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69" s="33" t="str">
        <f>IFERROR(__xludf.DUMMYFUNCTION("IFNA(
IF(
VLOOKUP(C69,IMPORTRANGE(""https://docs.google.com/spreadsheets/d/1rG8iy-kKSFDxhVaU60GJ2bpXc8tZqI1bT8U0Ac0DWTU/edit?usp=sharing"",""REGISTRATION!C:AB""),26,FALSE)
=""No"",
""No Candy"",
""""
),
""""
)"),"")</f>
        <v/>
      </c>
      <c r="F69" s="32" t="str">
        <f>IFERROR(__xludf.DUMMYFUNCTION("IFNA(VLOOKUP(C69,IMPORTRANGE(""https://docs.google.com/spreadsheets/d/1rG8iy-kKSFDxhVaU60GJ2bpXc8tZqI1bT8U0Ac0DWTU/edit?usp=sharing"",""REGISTRATION!C:V""),18,FALSE),"""")"),"None")</f>
        <v>None</v>
      </c>
      <c r="G69" s="32" t="str">
        <f>IFERROR(__xludf.DUMMYFUNCTION("IFNA(VLOOKUP(C69,IMPORTRANGE(""https://docs.google.com/spreadsheets/d/1rG8iy-kKSFDxhVaU60GJ2bpXc8tZqI1bT8U0Ac0DWTU/edit?usp=sharing"",""REGISTRATION!C:V""),20,FALSE),"""")"),"")</f>
        <v/>
      </c>
      <c r="H69" s="49" t="str">
        <f>IFERROR(__xludf.DUMMYFUNCTION("IFNA(VLOOKUP(C69,IMPORTRANGE(""https://docs.google.com/spreadsheets/d/1rG8iy-kKSFDxhVaU60GJ2bpXc8tZqI1bT8U0Ac0DWTU/edit?usp=sharing"",""REGISTRATION!C:V""),19,FALSE),"""")"),"Migrane")</f>
        <v>Migrane</v>
      </c>
    </row>
    <row r="70">
      <c r="C70" s="48" t="s">
        <v>94</v>
      </c>
      <c r="D70" s="32" t="str">
        <f>IFERROR(__xludf.DUMMYFUNCTION("IFNA(
IF(
VLOOKUP(C70,IMPORTRANGE(""https://docs.google.com/spreadsheets/d/1rG8iy-kKSFDxhVaU60GJ2bpXc8tZqI1bT8U0Ac0DWTU/edit?usp=sharing"",""REGISTRATION!C:X""),22,FALSE)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70" s="33" t="str">
        <f>IFERROR(__xludf.DUMMYFUNCTION("IFNA(
IF(
VLOOKUP(C70,IMPORTRANGE(""https://docs.google.com/spreadsheets/d/1rG8iy-kKSFDxhVaU60GJ2bpXc8tZqI1bT8U0Ac0DWTU/edit?usp=sharing"",""REGISTRATION!C:AB""),26,FALSE)
=""No"",
""No Candy"",
""""
),
""""
)"),"")</f>
        <v/>
      </c>
      <c r="F70" s="32" t="str">
        <f>IFERROR(__xludf.DUMMYFUNCTION("IFNA(VLOOKUP(C70,IMPORTRANGE(""https://docs.google.com/spreadsheets/d/1rG8iy-kKSFDxhVaU60GJ2bpXc8tZqI1bT8U0Ac0DWTU/edit?usp=sharing"",""REGISTRATION!C:V""),18,FALSE),"""")"),"None")</f>
        <v>None</v>
      </c>
      <c r="G70" s="32" t="str">
        <f>IFERROR(__xludf.DUMMYFUNCTION("IFNA(VLOOKUP(C70,IMPORTRANGE(""https://docs.google.com/spreadsheets/d/1rG8iy-kKSFDxhVaU60GJ2bpXc8tZqI1bT8U0Ac0DWTU/edit?usp=sharing"",""REGISTRATION!C:V""),20,FALSE),"""")"),"")</f>
        <v/>
      </c>
      <c r="H70" s="32" t="str">
        <f>IFERROR(__xludf.DUMMYFUNCTION("IFNA(VLOOKUP(C70,IMPORTRANGE(""https://docs.google.com/spreadsheets/d/1rG8iy-kKSFDxhVaU60GJ2bpXc8tZqI1bT8U0Ac0DWTU/edit?usp=sharing"",""REGISTRATION!C:V""),19,FALSE),"""")"),"None")</f>
        <v>None</v>
      </c>
    </row>
    <row r="71">
      <c r="C71" s="50" t="s">
        <v>95</v>
      </c>
      <c r="D71" s="25" t="str">
        <f>IFERROR(__xludf.DUMMYFUNCTION("IFNA(
IF(
VLOOKUP(C71,IMPORTRANGE(""https://docs.google.com/spreadsheets/d/1rG8iy-kKSFDxhVaU60GJ2bpXc8tZqI1bT8U0Ac0DWTU/edit?usp=sharing"",""REGISTRATION!C:X""),22,FALSE)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71" s="26" t="str">
        <f>IFERROR(__xludf.DUMMYFUNCTION("IFNA(
IF(
VLOOKUP(C71,IMPORTRANGE(""https://docs.google.com/spreadsheets/d/1rG8iy-kKSFDxhVaU60GJ2bpXc8tZqI1bT8U0Ac0DWTU/edit?usp=sharing"",""REGISTRATION!C:AB""),26,FALSE)
=""No"",
""No Candy"",
""""
),
""""
)"),"")</f>
        <v/>
      </c>
      <c r="F71" s="25" t="str">
        <f>IFERROR(__xludf.DUMMYFUNCTION("IFNA(VLOOKUP(C71,IMPORTRANGE(""https://docs.google.com/spreadsheets/d/1rG8iy-kKSFDxhVaU60GJ2bpXc8tZqI1bT8U0Ac0DWTU/edit?usp=sharing"",""REGISTRATION!C:V""),18,FALSE),"""")"),"None")</f>
        <v>None</v>
      </c>
      <c r="G71" s="25" t="str">
        <f>IFERROR(__xludf.DUMMYFUNCTION("IFNA(VLOOKUP(C71,IMPORTRANGE(""https://docs.google.com/spreadsheets/d/1rG8iy-kKSFDxhVaU60GJ2bpXc8tZqI1bT8U0Ac0DWTU/edit?usp=sharing"",""REGISTRATION!C:V""),20,FALSE),"""")"),"")</f>
        <v/>
      </c>
      <c r="H71" s="25" t="str">
        <f>IFERROR(__xludf.DUMMYFUNCTION("IFNA(VLOOKUP(C71,IMPORTRANGE(""https://docs.google.com/spreadsheets/d/1rG8iy-kKSFDxhVaU60GJ2bpXc8tZqI1bT8U0Ac0DWTU/edit?usp=sharing"",""REGISTRATION!C:V""),19,FALSE),"""")"),"None")</f>
        <v>None</v>
      </c>
    </row>
    <row r="72">
      <c r="C72" s="48" t="s">
        <v>96</v>
      </c>
      <c r="D72" s="32" t="str">
        <f>IFERROR(__xludf.DUMMYFUNCTION("IFNA(
IF(
VLOOKUP(C72,IMPORTRANGE(""https://docs.google.com/spreadsheets/d/1rG8iy-kKSFDxhVaU60GJ2bpXc8tZqI1bT8U0Ac0DWTU/edit?usp=sharing"",""REGISTRATION!C:X""),22,FALSE)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72" s="33" t="str">
        <f>IFERROR(__xludf.DUMMYFUNCTION("IFNA(
IF(
VLOOKUP(C72,IMPORTRANGE(""https://docs.google.com/spreadsheets/d/1rG8iy-kKSFDxhVaU60GJ2bpXc8tZqI1bT8U0Ac0DWTU/edit?usp=sharing"",""REGISTRATION!C:AB""),26,FALSE)
=""No"",
""No Candy"",
""""
),
""""
)"),"")</f>
        <v/>
      </c>
      <c r="F72" s="32" t="str">
        <f>IFERROR(__xludf.DUMMYFUNCTION("IFNA(VLOOKUP(C72,IMPORTRANGE(""https://docs.google.com/spreadsheets/d/1rG8iy-kKSFDxhVaU60GJ2bpXc8tZqI1bT8U0Ac0DWTU/edit?usp=sharing"",""REGISTRATION!C:V""),18,FALSE),"""")"),"None")</f>
        <v>None</v>
      </c>
      <c r="G72" s="32" t="str">
        <f>IFERROR(__xludf.DUMMYFUNCTION("IFNA(VLOOKUP(C72,IMPORTRANGE(""https://docs.google.com/spreadsheets/d/1rG8iy-kKSFDxhVaU60GJ2bpXc8tZqI1bT8U0Ac0DWTU/edit?usp=sharing"",""REGISTRATION!C:V""),20,FALSE),"""")"),"")</f>
        <v/>
      </c>
      <c r="H72" s="32" t="str">
        <f>IFERROR(__xludf.DUMMYFUNCTION("IFNA(VLOOKUP(C72,IMPORTRANGE(""https://docs.google.com/spreadsheets/d/1rG8iy-kKSFDxhVaU60GJ2bpXc8tZqI1bT8U0Ac0DWTU/edit?usp=sharing"",""REGISTRATION!C:V""),19,FALSE),"""")"),"None")</f>
        <v>None</v>
      </c>
    </row>
    <row r="73">
      <c r="C73" s="48" t="s">
        <v>97</v>
      </c>
      <c r="D73" s="32" t="str">
        <f>IFERROR(__xludf.DUMMYFUNCTION("IFNA(
IF(
VLOOKUP(C73,IMPORTRANGE(""https://docs.google.com/spreadsheets/d/1rG8iy-kKSFDxhVaU60GJ2bpXc8tZqI1bT8U0Ac0DWTU/edit?usp=sharing"",""REGISTRATION!C:X""),22,FALSE)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73" s="33" t="str">
        <f>IFERROR(__xludf.DUMMYFUNCTION("IFNA(
IF(
VLOOKUP(C73,IMPORTRANGE(""https://docs.google.com/spreadsheets/d/1rG8iy-kKSFDxhVaU60GJ2bpXc8tZqI1bT8U0Ac0DWTU/edit?usp=sharing"",""REGISTRATION!C:AB""),26,FALSE)
=""No"",
""No Candy"",
""""
),
""""
)"),"")</f>
        <v/>
      </c>
      <c r="F73" s="32" t="str">
        <f>IFERROR(__xludf.DUMMYFUNCTION("IFNA(VLOOKUP(C73,IMPORTRANGE(""https://docs.google.com/spreadsheets/d/1rG8iy-kKSFDxhVaU60GJ2bpXc8tZqI1bT8U0Ac0DWTU/edit?usp=sharing"",""REGISTRATION!C:V""),18,FALSE),"""")"),"None")</f>
        <v>None</v>
      </c>
      <c r="G73" s="32" t="str">
        <f>IFERROR(__xludf.DUMMYFUNCTION("IFNA(VLOOKUP(C73,IMPORTRANGE(""https://docs.google.com/spreadsheets/d/1rG8iy-kKSFDxhVaU60GJ2bpXc8tZqI1bT8U0Ac0DWTU/edit?usp=sharing"",""REGISTRATION!C:V""),20,FALSE),"""")"),"")</f>
        <v/>
      </c>
      <c r="H73" s="32" t="str">
        <f>IFERROR(__xludf.DUMMYFUNCTION("IFNA(VLOOKUP(C73,IMPORTRANGE(""https://docs.google.com/spreadsheets/d/1rG8iy-kKSFDxhVaU60GJ2bpXc8tZqI1bT8U0Ac0DWTU/edit?usp=sharing"",""REGISTRATION!C:V""),19,FALSE),"""")"),"None")</f>
        <v>None</v>
      </c>
    </row>
    <row r="74">
      <c r="C74" s="51" t="s">
        <v>98</v>
      </c>
      <c r="D74" s="17" t="str">
        <f>IFERROR(__xludf.DUMMYFUNCTION("IFNA(
IF(
VLOOKUP(C74,IMPORTRANGE(""https://docs.google.com/spreadsheets/d/1rG8iy-kKSFDxhVaU60GJ2bpXc8tZqI1bT8U0Ac0DWTU/edit?usp=sharing"",""REGISTRATION!C:X""),22,FALSE)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74" s="18" t="str">
        <f>IFERROR(__xludf.DUMMYFUNCTION("IFNA(
IF(
VLOOKUP(C74,IMPORTRANGE(""https://docs.google.com/spreadsheets/d/1rG8iy-kKSFDxhVaU60GJ2bpXc8tZqI1bT8U0Ac0DWTU/edit?usp=sharing"",""REGISTRATION!C:AB""),26,FALSE)
=""No"",
""No Candy"",
""""
),
""""
)"),"")</f>
        <v/>
      </c>
      <c r="F74" s="19" t="str">
        <f>IFERROR(__xludf.DUMMYFUNCTION("IFNA(VLOOKUP(C74,IMPORTRANGE(""https://docs.google.com/spreadsheets/d/1rG8iy-kKSFDxhVaU60GJ2bpXc8tZqI1bT8U0Ac0DWTU/edit?usp=sharing"",""REGISTRATION!C:V""),18,FALSE),"""")"),"Vegetarian ")</f>
        <v>Vegetarian </v>
      </c>
      <c r="G74" s="17" t="str">
        <f>IFERROR(__xludf.DUMMYFUNCTION("IFNA(VLOOKUP(C74,IMPORTRANGE(""https://docs.google.com/spreadsheets/d/1rG8iy-kKSFDxhVaU60GJ2bpXc8tZqI1bT8U0Ac0DWTU/edit?usp=sharing"",""REGISTRATION!C:V""),20,FALSE),"""")"),"")</f>
        <v/>
      </c>
      <c r="H74" s="17" t="str">
        <f>IFERROR(__xludf.DUMMYFUNCTION("IFNA(VLOOKUP(C74,IMPORTRANGE(""https://docs.google.com/spreadsheets/d/1rG8iy-kKSFDxhVaU60GJ2bpXc8tZqI1bT8U0Ac0DWTU/edit?usp=sharing"",""REGISTRATION!C:V""),19,FALSE),"""")"),"None")</f>
        <v>None</v>
      </c>
    </row>
    <row r="75">
      <c r="C75" s="48" t="s">
        <v>99</v>
      </c>
      <c r="D75" s="32" t="str">
        <f>IFERROR(__xludf.DUMMYFUNCTION("IFNA(
IF(
VLOOKUP(C75,IMPORTRANGE(""https://docs.google.com/spreadsheets/d/1rG8iy-kKSFDxhVaU60GJ2bpXc8tZqI1bT8U0Ac0DWTU/edit?usp=sharing"",""REGISTRATION!C:X""),22,FALSE)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75" s="33" t="str">
        <f>IFERROR(__xludf.DUMMYFUNCTION("IFNA(
IF(
VLOOKUP(C75,IMPORTRANGE(""https://docs.google.com/spreadsheets/d/1rG8iy-kKSFDxhVaU60GJ2bpXc8tZqI1bT8U0Ac0DWTU/edit?usp=sharing"",""REGISTRATION!C:AB""),26,FALSE)
=""No"",
""No Candy"",
""""
),
""""
)"),"")</f>
        <v/>
      </c>
      <c r="F75" s="32" t="str">
        <f>IFERROR(__xludf.DUMMYFUNCTION("IFNA(VLOOKUP(C75,IMPORTRANGE(""https://docs.google.com/spreadsheets/d/1rG8iy-kKSFDxhVaU60GJ2bpXc8tZqI1bT8U0Ac0DWTU/edit?usp=sharing"",""REGISTRATION!C:V""),18,FALSE),"""")"),"None")</f>
        <v>None</v>
      </c>
      <c r="G75" s="32" t="str">
        <f>IFERROR(__xludf.DUMMYFUNCTION("IFNA(VLOOKUP(C75,IMPORTRANGE(""https://docs.google.com/spreadsheets/d/1rG8iy-kKSFDxhVaU60GJ2bpXc8tZqI1bT8U0Ac0DWTU/edit?usp=sharing"",""REGISTRATION!C:V""),20,FALSE),"""")"),"")</f>
        <v/>
      </c>
      <c r="H75" s="32" t="str">
        <f>IFERROR(__xludf.DUMMYFUNCTION("IFNA(VLOOKUP(C75,IMPORTRANGE(""https://docs.google.com/spreadsheets/d/1rG8iy-kKSFDxhVaU60GJ2bpXc8tZqI1bT8U0Ac0DWTU/edit?usp=sharing"",""REGISTRATION!C:V""),19,FALSE),"""")"),"None")</f>
        <v>None</v>
      </c>
    </row>
    <row r="76">
      <c r="C76" s="50" t="s">
        <v>100</v>
      </c>
      <c r="D76" s="25" t="str">
        <f>IFERROR(__xludf.DUMMYFUNCTION("IFNA(
IF(
VLOOKUP(C76,IMPORTRANGE(""https://docs.google.com/spreadsheets/d/1rG8iy-kKSFDxhVaU60GJ2bpXc8tZqI1bT8U0Ac0DWTU/edit?usp=sharing"",""REGISTRATION!C:X""),22,FALSE)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76" s="26" t="str">
        <f>IFERROR(__xludf.DUMMYFUNCTION("IFNA(
IF(
VLOOKUP(C76,IMPORTRANGE(""https://docs.google.com/spreadsheets/d/1rG8iy-kKSFDxhVaU60GJ2bpXc8tZqI1bT8U0Ac0DWTU/edit?usp=sharing"",""REGISTRATION!C:AB""),26,FALSE)
=""No"",
""No Candy"",
""""
),
""""
)"),"")</f>
        <v/>
      </c>
      <c r="F76" s="25" t="str">
        <f>IFERROR(__xludf.DUMMYFUNCTION("IFNA(VLOOKUP(C76,IMPORTRANGE(""https://docs.google.com/spreadsheets/d/1rG8iy-kKSFDxhVaU60GJ2bpXc8tZqI1bT8U0Ac0DWTU/edit?usp=sharing"",""REGISTRATION!C:V""),18,FALSE),"""")"),"None")</f>
        <v>None</v>
      </c>
      <c r="G76" s="25" t="str">
        <f>IFERROR(__xludf.DUMMYFUNCTION("IFNA(VLOOKUP(C76,IMPORTRANGE(""https://docs.google.com/spreadsheets/d/1rG8iy-kKSFDxhVaU60GJ2bpXc8tZqI1bT8U0Ac0DWTU/edit?usp=sharing"",""REGISTRATION!C:V""),20,FALSE),"""")"),"")</f>
        <v/>
      </c>
      <c r="H76" s="25" t="str">
        <f>IFERROR(__xludf.DUMMYFUNCTION("IFNA(VLOOKUP(C76,IMPORTRANGE(""https://docs.google.com/spreadsheets/d/1rG8iy-kKSFDxhVaU60GJ2bpXc8tZqI1bT8U0Ac0DWTU/edit?usp=sharing"",""REGISTRATION!C:V""),19,FALSE),"""")"),"None")</f>
        <v>None</v>
      </c>
    </row>
    <row r="77">
      <c r="C77" s="50" t="s">
        <v>101</v>
      </c>
      <c r="D77" s="25" t="str">
        <f>IFERROR(__xludf.DUMMYFUNCTION("IFNA(
IF(
VLOOKUP(C77,IMPORTRANGE(""https://docs.google.com/spreadsheets/d/1rG8iy-kKSFDxhVaU60GJ2bpXc8tZqI1bT8U0Ac0DWTU/edit?usp=sharing"",""REGISTRATION!C:X""),22,FALSE)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77" s="26" t="str">
        <f>IFERROR(__xludf.DUMMYFUNCTION("IFNA(
IF(
VLOOKUP(C77,IMPORTRANGE(""https://docs.google.com/spreadsheets/d/1rG8iy-kKSFDxhVaU60GJ2bpXc8tZqI1bT8U0Ac0DWTU/edit?usp=sharing"",""REGISTRATION!C:AB""),26,FALSE)
=""No"",
""No Candy"",
""""
),
""""
)"),"")</f>
        <v/>
      </c>
      <c r="F77" s="25" t="str">
        <f>IFERROR(__xludf.DUMMYFUNCTION("IFNA(VLOOKUP(C77,IMPORTRANGE(""https://docs.google.com/spreadsheets/d/1rG8iy-kKSFDxhVaU60GJ2bpXc8tZqI1bT8U0Ac0DWTU/edit?usp=sharing"",""REGISTRATION!C:V""),18,FALSE),"""")"),"None")</f>
        <v>None</v>
      </c>
      <c r="G77" s="25" t="str">
        <f>IFERROR(__xludf.DUMMYFUNCTION("IFNA(VLOOKUP(C77,IMPORTRANGE(""https://docs.google.com/spreadsheets/d/1rG8iy-kKSFDxhVaU60GJ2bpXc8tZqI1bT8U0Ac0DWTU/edit?usp=sharing"",""REGISTRATION!C:V""),20,FALSE),"""")"),"")</f>
        <v/>
      </c>
      <c r="H77" s="25" t="str">
        <f>IFERROR(__xludf.DUMMYFUNCTION("IFNA(VLOOKUP(C77,IMPORTRANGE(""https://docs.google.com/spreadsheets/d/1rG8iy-kKSFDxhVaU60GJ2bpXc8tZqI1bT8U0Ac0DWTU/edit?usp=sharing"",""REGISTRATION!C:V""),19,FALSE),"""")"),"None")</f>
        <v>None</v>
      </c>
    </row>
    <row r="78">
      <c r="C78" s="31"/>
      <c r="D78" s="32" t="str">
        <f>IFERROR(__xludf.DUMMYFUNCTION("IFNA(
IF(
VLOOKUP(C78,IMPORTRANGE(""https://docs.google.com/spreadsheets/d/1rG8iy-kKSFDxhVaU60GJ2bpXc8tZqI1bT8U0Ac0DWTU/edit?usp=sharing"",""REGISTRATION!C:X""),22,FALSE)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78" s="33" t="str">
        <f>IFERROR(__xludf.DUMMYFUNCTION("IFNA(
IF(
VLOOKUP(C78,IMPORTRANGE(""https://docs.google.com/spreadsheets/d/1rG8iy-kKSFDxhVaU60GJ2bpXc8tZqI1bT8U0Ac0DWTU/edit?usp=sharing"",""REGISTRATION!C:AB""),26,FALSE)
=""No"",
""No Candy"",
""""
),
""""
)"),"")</f>
        <v/>
      </c>
      <c r="F78" s="32" t="str">
        <f>IFERROR(__xludf.DUMMYFUNCTION("IFNA(VLOOKUP(C78,IMPORTRANGE(""https://docs.google.com/spreadsheets/d/1rG8iy-kKSFDxhVaU60GJ2bpXc8tZqI1bT8U0Ac0DWTU/edit?usp=sharing"",""REGISTRATION!C:V""),18,FALSE),"""")"),"")</f>
        <v/>
      </c>
      <c r="G78" s="32" t="str">
        <f>IFERROR(__xludf.DUMMYFUNCTION("IFNA(VLOOKUP(C78,IMPORTRANGE(""https://docs.google.com/spreadsheets/d/1rG8iy-kKSFDxhVaU60GJ2bpXc8tZqI1bT8U0Ac0DWTU/edit?usp=sharing"",""REGISTRATION!C:V""),20,FALSE),"""")"),"")</f>
        <v/>
      </c>
      <c r="H78" s="32" t="str">
        <f>IFERROR(__xludf.DUMMYFUNCTION("IFNA(VLOOKUP(C78,IMPORTRANGE(""https://docs.google.com/spreadsheets/d/1rG8iy-kKSFDxhVaU60GJ2bpXc8tZqI1bT8U0Ac0DWTU/edit?usp=sharing"",""REGISTRATION!C:V""),19,FALSE),"""")"),"")</f>
        <v/>
      </c>
    </row>
    <row r="79">
      <c r="C79" s="31"/>
      <c r="D79" s="32" t="str">
        <f>IFERROR(__xludf.DUMMYFUNCTION("IFNA(
IF(
VLOOKUP(C79,IMPORTRANGE(""https://docs.google.com/spreadsheets/d/1rG8iy-kKSFDxhVaU60GJ2bpXc8tZqI1bT8U0Ac0DWTU/edit?usp=sharing"",""REGISTRATION!C:X""),22,FALSE)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79" s="33" t="str">
        <f>IFERROR(__xludf.DUMMYFUNCTION("IFNA(
IF(
VLOOKUP(C79,IMPORTRANGE(""https://docs.google.com/spreadsheets/d/1rG8iy-kKSFDxhVaU60GJ2bpXc8tZqI1bT8U0Ac0DWTU/edit?usp=sharing"",""REGISTRATION!C:AB""),26,FALSE)
=""No"",
""No Candy"",
""""
),
""""
)"),"")</f>
        <v/>
      </c>
      <c r="F79" s="32" t="str">
        <f>IFERROR(__xludf.DUMMYFUNCTION("IFNA(VLOOKUP(C79,IMPORTRANGE(""https://docs.google.com/spreadsheets/d/1rG8iy-kKSFDxhVaU60GJ2bpXc8tZqI1bT8U0Ac0DWTU/edit?usp=sharing"",""REGISTRATION!C:V""),18,FALSE),"""")"),"")</f>
        <v/>
      </c>
      <c r="G79" s="32" t="str">
        <f>IFERROR(__xludf.DUMMYFUNCTION("IFNA(VLOOKUP(C79,IMPORTRANGE(""https://docs.google.com/spreadsheets/d/1rG8iy-kKSFDxhVaU60GJ2bpXc8tZqI1bT8U0Ac0DWTU/edit?usp=sharing"",""REGISTRATION!C:V""),20,FALSE),"""")"),"")</f>
        <v/>
      </c>
      <c r="H79" s="32" t="str">
        <f>IFERROR(__xludf.DUMMYFUNCTION("IFNA(VLOOKUP(C79,IMPORTRANGE(""https://docs.google.com/spreadsheets/d/1rG8iy-kKSFDxhVaU60GJ2bpXc8tZqI1bT8U0Ac0DWTU/edit?usp=sharing"",""REGISTRATION!C:V""),19,FALSE),"""")"),"")</f>
        <v/>
      </c>
    </row>
    <row r="80">
      <c r="C80" s="31"/>
      <c r="D80" s="32" t="str">
        <f>IFERROR(__xludf.DUMMYFUNCTION("IFNA(
IF(
VLOOKUP(C80,IMPORTRANGE(""https://docs.google.com/spreadsheets/d/1rG8iy-kKSFDxhVaU60GJ2bpXc8tZqI1bT8U0Ac0DWTU/edit?usp=sharing"",""REGISTRATION!C:X""),22,FALSE)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80" s="33" t="str">
        <f>IFERROR(__xludf.DUMMYFUNCTION("IFNA(
IF(
VLOOKUP(C80,IMPORTRANGE(""https://docs.google.com/spreadsheets/d/1rG8iy-kKSFDxhVaU60GJ2bpXc8tZqI1bT8U0Ac0DWTU/edit?usp=sharing"",""REGISTRATION!C:AB""),26,FALSE)
=""No"",
""No Candy"",
""""
),
""""
)"),"")</f>
        <v/>
      </c>
      <c r="F80" s="32" t="str">
        <f>IFERROR(__xludf.DUMMYFUNCTION("IFNA(VLOOKUP(C80,IMPORTRANGE(""https://docs.google.com/spreadsheets/d/1rG8iy-kKSFDxhVaU60GJ2bpXc8tZqI1bT8U0Ac0DWTU/edit?usp=sharing"",""REGISTRATION!C:V""),18,FALSE),"""")"),"")</f>
        <v/>
      </c>
      <c r="G80" s="32" t="str">
        <f>IFERROR(__xludf.DUMMYFUNCTION("IFNA(VLOOKUP(C80,IMPORTRANGE(""https://docs.google.com/spreadsheets/d/1rG8iy-kKSFDxhVaU60GJ2bpXc8tZqI1bT8U0Ac0DWTU/edit?usp=sharing"",""REGISTRATION!C:V""),20,FALSE),"""")"),"")</f>
        <v/>
      </c>
      <c r="H80" s="32" t="str">
        <f>IFERROR(__xludf.DUMMYFUNCTION("IFNA(VLOOKUP(C80,IMPORTRANGE(""https://docs.google.com/spreadsheets/d/1rG8iy-kKSFDxhVaU60GJ2bpXc8tZqI1bT8U0Ac0DWTU/edit?usp=sharing"",""REGISTRATION!C:V""),19,FALSE),"""")"),"")</f>
        <v/>
      </c>
    </row>
    <row r="81">
      <c r="C81" s="31"/>
      <c r="D81" s="32" t="str">
        <f>IFERROR(__xludf.DUMMYFUNCTION("IFNA(
IF(
VLOOKUP(C81,IMPORTRANGE(""https://docs.google.com/spreadsheets/d/1rG8iy-kKSFDxhVaU60GJ2bpXc8tZqI1bT8U0Ac0DWTU/edit?usp=sharing"",""REGISTRATION!C:X""),22,FALSE)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81" s="33" t="str">
        <f>IFERROR(__xludf.DUMMYFUNCTION("IFNA(
IF(
VLOOKUP(C81,IMPORTRANGE(""https://docs.google.com/spreadsheets/d/1rG8iy-kKSFDxhVaU60GJ2bpXc8tZqI1bT8U0Ac0DWTU/edit?usp=sharing"",""REGISTRATION!C:AB""),26,FALSE)
=""No"",
""No Candy"",
""""
),
""""
)"),"")</f>
        <v/>
      </c>
      <c r="F81" s="32" t="str">
        <f>IFERROR(__xludf.DUMMYFUNCTION("IFNA(VLOOKUP(C81,IMPORTRANGE(""https://docs.google.com/spreadsheets/d/1rG8iy-kKSFDxhVaU60GJ2bpXc8tZqI1bT8U0Ac0DWTU/edit?usp=sharing"",""REGISTRATION!C:V""),18,FALSE),"""")"),"")</f>
        <v/>
      </c>
      <c r="G81" s="32" t="str">
        <f>IFERROR(__xludf.DUMMYFUNCTION("IFNA(VLOOKUP(C81,IMPORTRANGE(""https://docs.google.com/spreadsheets/d/1rG8iy-kKSFDxhVaU60GJ2bpXc8tZqI1bT8U0Ac0DWTU/edit?usp=sharing"",""REGISTRATION!C:V""),20,FALSE),"""")"),"")</f>
        <v/>
      </c>
      <c r="H81" s="32" t="str">
        <f>IFERROR(__xludf.DUMMYFUNCTION("IFNA(VLOOKUP(C81,IMPORTRANGE(""https://docs.google.com/spreadsheets/d/1rG8iy-kKSFDxhVaU60GJ2bpXc8tZqI1bT8U0Ac0DWTU/edit?usp=sharing"",""REGISTRATION!C:V""),19,FALSE),"""")"),"")</f>
        <v/>
      </c>
    </row>
    <row r="82">
      <c r="D82" s="32" t="str">
        <f>IFERROR(__xludf.DUMMYFUNCTION("IFNA(
IF(
VLOOKUP(C82,IMPORTRANGE(""https://docs.google.com/spreadsheets/d/1rG8iy-kKSFDxhVaU60GJ2bpXc8tZqI1bT8U0Ac0DWTU/edit?usp=sharing"",""REGISTRATION!C:X""),22,FALSE)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82" s="33" t="str">
        <f>IFERROR(__xludf.DUMMYFUNCTION("IFNA(
IF(
VLOOKUP(C82,IMPORTRANGE(""https://docs.google.com/spreadsheets/d/1rG8iy-kKSFDxhVaU60GJ2bpXc8tZqI1bT8U0Ac0DWTU/edit?usp=sharing"",""REGISTRATION!C:AB""),26,FALSE)
=""No"",
""No Candy"",
""""
),
""""
)"),"")</f>
        <v/>
      </c>
      <c r="F82" s="32" t="str">
        <f>IFERROR(__xludf.DUMMYFUNCTION("IFNA(VLOOKUP(C82,IMPORTRANGE(""https://docs.google.com/spreadsheets/d/1rG8iy-kKSFDxhVaU60GJ2bpXc8tZqI1bT8U0Ac0DWTU/edit?usp=sharing"",""REGISTRATION!C:V""),18,FALSE),"""")"),"")</f>
        <v/>
      </c>
      <c r="G82" s="32" t="str">
        <f>IFERROR(__xludf.DUMMYFUNCTION("IFNA(VLOOKUP(C82,IMPORTRANGE(""https://docs.google.com/spreadsheets/d/1rG8iy-kKSFDxhVaU60GJ2bpXc8tZqI1bT8U0Ac0DWTU/edit?usp=sharing"",""REGISTRATION!C:V""),20,FALSE),"""")"),"")</f>
        <v/>
      </c>
      <c r="H82" s="32" t="str">
        <f>IFERROR(__xludf.DUMMYFUNCTION("IFNA(VLOOKUP(C82,IMPORTRANGE(""https://docs.google.com/spreadsheets/d/1rG8iy-kKSFDxhVaU60GJ2bpXc8tZqI1bT8U0Ac0DWTU/edit?usp=sharing"",""REGISTRATION!C:V""),19,FALSE),"""")"),"")</f>
        <v/>
      </c>
    </row>
    <row r="83">
      <c r="C83" s="31"/>
      <c r="D83" s="32" t="str">
        <f>IFERROR(__xludf.DUMMYFUNCTION("IFNA(
IF(
VLOOKUP(C83,IMPORTRANGE(""https://docs.google.com/spreadsheets/d/1rG8iy-kKSFDxhVaU60GJ2bpXc8tZqI1bT8U0Ac0DWTU/edit?usp=sharing"",""REGISTRATION!C:X""),22,FALSE)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83" s="33" t="str">
        <f>IFERROR(__xludf.DUMMYFUNCTION("IFNA(
IF(
VLOOKUP(C83,IMPORTRANGE(""https://docs.google.com/spreadsheets/d/1rG8iy-kKSFDxhVaU60GJ2bpXc8tZqI1bT8U0Ac0DWTU/edit?usp=sharing"",""REGISTRATION!C:AB""),26,FALSE)
=""No"",
""No Candy"",
""""
),
""""
)"),"")</f>
        <v/>
      </c>
      <c r="F83" s="32" t="str">
        <f>IFERROR(__xludf.DUMMYFUNCTION("IFNA(VLOOKUP(C83,IMPORTRANGE(""https://docs.google.com/spreadsheets/d/1rG8iy-kKSFDxhVaU60GJ2bpXc8tZqI1bT8U0Ac0DWTU/edit?usp=sharing"",""REGISTRATION!C:V""),18,FALSE),"""")"),"")</f>
        <v/>
      </c>
      <c r="G83" s="32" t="str">
        <f>IFERROR(__xludf.DUMMYFUNCTION("IFNA(VLOOKUP(C83,IMPORTRANGE(""https://docs.google.com/spreadsheets/d/1rG8iy-kKSFDxhVaU60GJ2bpXc8tZqI1bT8U0Ac0DWTU/edit?usp=sharing"",""REGISTRATION!C:V""),20,FALSE),"""")"),"")</f>
        <v/>
      </c>
      <c r="H83" s="32" t="str">
        <f>IFERROR(__xludf.DUMMYFUNCTION("IFNA(VLOOKUP(C83,IMPORTRANGE(""https://docs.google.com/spreadsheets/d/1rG8iy-kKSFDxhVaU60GJ2bpXc8tZqI1bT8U0Ac0DWTU/edit?usp=sharing"",""REGISTRATION!C:V""),19,FALSE),"""")"),"")</f>
        <v/>
      </c>
    </row>
    <row r="84">
      <c r="A84" s="15" t="s">
        <v>102</v>
      </c>
      <c r="B84" s="15" t="s">
        <v>103</v>
      </c>
      <c r="C84" s="20" t="s">
        <v>104</v>
      </c>
      <c r="D84" s="21" t="str">
        <f>IFERROR(__xludf.DUMMYFUNCTION("IFNA(
IF(
VLOOKUP(C84,IMPORTRANGE(""https://docs.google.com/spreadsheets/d/1rG8iy-kKSFDxhVaU60GJ2bpXc8tZqI1bT8U0Ac0DWTU/edit?usp=sharing"",""REGISTRATION!C:X""),22,FALSE)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84" s="22" t="str">
        <f>IFERROR(__xludf.DUMMYFUNCTION("IFNA(
IF(
VLOOKUP(C84,IMPORTRANGE(""https://docs.google.com/spreadsheets/d/1rG8iy-kKSFDxhVaU60GJ2bpXc8tZqI1bT8U0Ac0DWTU/edit?usp=sharing"",""REGISTRATION!C:AB""),26,FALSE)
=""No"",
""No Candy"",
""""
),
""""
)"),"")</f>
        <v/>
      </c>
      <c r="F84" s="21" t="str">
        <f>IFERROR(__xludf.DUMMYFUNCTION("IFNA(VLOOKUP(C84,IMPORTRANGE(""https://docs.google.com/spreadsheets/d/1rG8iy-kKSFDxhVaU60GJ2bpXc8tZqI1bT8U0Ac0DWTU/edit?usp=sharing"",""REGISTRATION!C:V""),18,FALSE),"""")"),"None")</f>
        <v>None</v>
      </c>
      <c r="G84" s="21" t="str">
        <f>IFERROR(__xludf.DUMMYFUNCTION("IFNA(VLOOKUP(C84,IMPORTRANGE(""https://docs.google.com/spreadsheets/d/1rG8iy-kKSFDxhVaU60GJ2bpXc8tZqI1bT8U0Ac0DWTU/edit?usp=sharing"",""REGISTRATION!C:V""),20,FALSE),"""")"),"")</f>
        <v/>
      </c>
      <c r="H84" s="21" t="str">
        <f>IFERROR(__xludf.DUMMYFUNCTION("IFNA(VLOOKUP(C84,IMPORTRANGE(""https://docs.google.com/spreadsheets/d/1rG8iy-kKSFDxhVaU60GJ2bpXc8tZqI1bT8U0Ac0DWTU/edit?usp=sharing"",""REGISTRATION!C:V""),19,FALSE),"""")"),"None")</f>
        <v>None</v>
      </c>
    </row>
    <row r="85">
      <c r="C85" s="24" t="s">
        <v>105</v>
      </c>
      <c r="D85" s="27" t="str">
        <f>IFERROR(__xludf.DUMMYFUNCTION("IFNA(
IF(
VLOOKUP(C85,IMPORTRANGE(""https://docs.google.com/spreadsheets/d/1rG8iy-kKSFDxhVaU60GJ2bpXc8tZqI1bT8U0Ac0DWTU/edit?usp=sharing"",""REGISTRATION!C:X""),22,FALSE)
=""I qualify for Free and Reduced Lunch and WOULD like lunch to be provided for my c"&amp;"hild."",
""Yes"",
""""
),
""""
)"),"Yes")</f>
        <v>Yes</v>
      </c>
      <c r="E85" s="26" t="str">
        <f>IFERROR(__xludf.DUMMYFUNCTION("IFNA(
IF(
VLOOKUP(C85,IMPORTRANGE(""https://docs.google.com/spreadsheets/d/1rG8iy-kKSFDxhVaU60GJ2bpXc8tZqI1bT8U0Ac0DWTU/edit?usp=sharing"",""REGISTRATION!C:AB""),26,FALSE)
=""No"",
""No Candy"",
""""
),
""""
)"),"")</f>
        <v/>
      </c>
      <c r="F85" s="25" t="str">
        <f>IFERROR(__xludf.DUMMYFUNCTION("IFNA(VLOOKUP(C85,IMPORTRANGE(""https://docs.google.com/spreadsheets/d/1rG8iy-kKSFDxhVaU60GJ2bpXc8tZqI1bT8U0Ac0DWTU/edit?usp=sharing"",""REGISTRATION!C:V""),18,FALSE),"""")"),"None")</f>
        <v>None</v>
      </c>
      <c r="G85" s="25" t="str">
        <f>IFERROR(__xludf.DUMMYFUNCTION("IFNA(VLOOKUP(C85,IMPORTRANGE(""https://docs.google.com/spreadsheets/d/1rG8iy-kKSFDxhVaU60GJ2bpXc8tZqI1bT8U0Ac0DWTU/edit?usp=sharing"",""REGISTRATION!C:V""),20,FALSE),"""")"),"")</f>
        <v/>
      </c>
      <c r="H85" s="25" t="str">
        <f>IFERROR(__xludf.DUMMYFUNCTION("IFNA(VLOOKUP(C85,IMPORTRANGE(""https://docs.google.com/spreadsheets/d/1rG8iy-kKSFDxhVaU60GJ2bpXc8tZqI1bT8U0Ac0DWTU/edit?usp=sharing"",""REGISTRATION!C:V""),19,FALSE),"""")"),"None")</f>
        <v>None</v>
      </c>
    </row>
    <row r="86">
      <c r="C86" s="16" t="s">
        <v>106</v>
      </c>
      <c r="D86" s="19" t="str">
        <f>IFERROR(__xludf.DUMMYFUNCTION("IFNA(
IF(
VLOOKUP(C86,IMPORTRANGE(""https://docs.google.com/spreadsheets/d/1rG8iy-kKSFDxhVaU60GJ2bpXc8tZqI1bT8U0Ac0DWTU/edit?usp=sharing"",""REGISTRATION!C:X""),22,FALSE)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86" s="47" t="str">
        <f>IFERROR(__xludf.DUMMYFUNCTION("IFNA(
IF(
VLOOKUP(C86,IMPORTRANGE(""https://docs.google.com/spreadsheets/d/1rG8iy-kKSFDxhVaU60GJ2bpXc8tZqI1bT8U0Ac0DWTU/edit?usp=sharing"",""REGISTRATION!C:AB""),26,FALSE)
=""No"",
""No Candy"",
""""
),
""""
)"),"No Candy")</f>
        <v>No Candy</v>
      </c>
      <c r="F86" s="17" t="str">
        <f>IFERROR(__xludf.DUMMYFUNCTION("IFNA(VLOOKUP(C86,IMPORTRANGE(""https://docs.google.com/spreadsheets/d/1rG8iy-kKSFDxhVaU60GJ2bpXc8tZqI1bT8U0Ac0DWTU/edit?usp=sharing"",""REGISTRATION!C:V""),18,FALSE),"""")"),"None")</f>
        <v>None</v>
      </c>
      <c r="G86" s="17" t="str">
        <f>IFERROR(__xludf.DUMMYFUNCTION("IFNA(VLOOKUP(C86,IMPORTRANGE(""https://docs.google.com/spreadsheets/d/1rG8iy-kKSFDxhVaU60GJ2bpXc8tZqI1bT8U0Ac0DWTU/edit?usp=sharing"",""REGISTRATION!C:V""),20,FALSE),"""")"),"")</f>
        <v/>
      </c>
      <c r="H86" s="17" t="str">
        <f>IFERROR(__xludf.DUMMYFUNCTION("IFNA(VLOOKUP(C86,IMPORTRANGE(""https://docs.google.com/spreadsheets/d/1rG8iy-kKSFDxhVaU60GJ2bpXc8tZqI1bT8U0Ac0DWTU/edit?usp=sharing"",""REGISTRATION!C:V""),19,FALSE),"""")"),"None")</f>
        <v>None</v>
      </c>
    </row>
    <row r="87">
      <c r="C87" s="20" t="s">
        <v>107</v>
      </c>
      <c r="D87" s="23" t="str">
        <f>IFERROR(__xludf.DUMMYFUNCTION("IFNA(
IF(
VLOOKUP(C87,IMPORTRANGE(""https://docs.google.com/spreadsheets/d/1rG8iy-kKSFDxhVaU60GJ2bpXc8tZqI1bT8U0Ac0DWTU/edit?usp=sharing"",""REGISTRATION!C:X""),22,FALSE)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87" s="22" t="str">
        <f>IFERROR(__xludf.DUMMYFUNCTION("IFNA(
IF(
VLOOKUP(C87,IMPORTRANGE(""https://docs.google.com/spreadsheets/d/1rG8iy-kKSFDxhVaU60GJ2bpXc8tZqI1bT8U0Ac0DWTU/edit?usp=sharing"",""REGISTRATION!C:AB""),26,FALSE)
=""No"",
""No Candy"",
""""
),
""""
)"),"")</f>
        <v/>
      </c>
      <c r="F87" s="21" t="str">
        <f>IFERROR(__xludf.DUMMYFUNCTION("IFNA(VLOOKUP(C87,IMPORTRANGE(""https://docs.google.com/spreadsheets/d/1rG8iy-kKSFDxhVaU60GJ2bpXc8tZqI1bT8U0Ac0DWTU/edit?usp=sharing"",""REGISTRATION!C:V""),18,FALSE),"""")"),"None")</f>
        <v>None</v>
      </c>
      <c r="G87" s="21" t="str">
        <f>IFERROR(__xludf.DUMMYFUNCTION("IFNA(VLOOKUP(C87,IMPORTRANGE(""https://docs.google.com/spreadsheets/d/1rG8iy-kKSFDxhVaU60GJ2bpXc8tZqI1bT8U0Ac0DWTU/edit?usp=sharing"",""REGISTRATION!C:V""),20,FALSE),"""")"),"")</f>
        <v/>
      </c>
      <c r="H87" s="21" t="str">
        <f>IFERROR(__xludf.DUMMYFUNCTION("IFNA(VLOOKUP(C87,IMPORTRANGE(""https://docs.google.com/spreadsheets/d/1rG8iy-kKSFDxhVaU60GJ2bpXc8tZqI1bT8U0Ac0DWTU/edit?usp=sharing"",""REGISTRATION!C:V""),19,FALSE),"""")"),"None")</f>
        <v>None</v>
      </c>
    </row>
    <row r="88">
      <c r="C88" s="52" t="s">
        <v>108</v>
      </c>
      <c r="D88" s="27" t="str">
        <f>IFERROR(__xludf.DUMMYFUNCTION("IFNA(
IF(
VLOOKUP(C88,IMPORTRANGE(""https://docs.google.com/spreadsheets/d/1rG8iy-kKSFDxhVaU60GJ2bpXc8tZqI1bT8U0Ac0DWTU/edit?usp=sharing"",""REGISTRATION!C:X""),22,FALSE)
=""I qualify for Free and Reduced Lunch and WOULD like lunch to be provided for my c"&amp;"hild."",
""Yes"",
""""
),
""""
)"),"Yes")</f>
        <v>Yes</v>
      </c>
      <c r="E88" s="26" t="str">
        <f>IFERROR(__xludf.DUMMYFUNCTION("IFNA(
IF(
VLOOKUP(C88,IMPORTRANGE(""https://docs.google.com/spreadsheets/d/1rG8iy-kKSFDxhVaU60GJ2bpXc8tZqI1bT8U0Ac0DWTU/edit?usp=sharing"",""REGISTRATION!C:AB""),26,FALSE)
=""No"",
""No Candy"",
""""
),
""""
)"),"")</f>
        <v/>
      </c>
      <c r="F88" s="25" t="str">
        <f>IFERROR(__xludf.DUMMYFUNCTION("IFNA(VLOOKUP(C88,IMPORTRANGE(""https://docs.google.com/spreadsheets/d/1rG8iy-kKSFDxhVaU60GJ2bpXc8tZqI1bT8U0Ac0DWTU/edit?usp=sharing"",""REGISTRATION!C:V""),18,FALSE),"""")"),"None")</f>
        <v>None</v>
      </c>
      <c r="G88" s="25" t="str">
        <f>IFERROR(__xludf.DUMMYFUNCTION("IFNA(VLOOKUP(C88,IMPORTRANGE(""https://docs.google.com/spreadsheets/d/1rG8iy-kKSFDxhVaU60GJ2bpXc8tZqI1bT8U0Ac0DWTU/edit?usp=sharing"",""REGISTRATION!C:V""),20,FALSE),"""")"),"")</f>
        <v/>
      </c>
      <c r="H88" s="25" t="str">
        <f>IFERROR(__xludf.DUMMYFUNCTION("IFNA(VLOOKUP(C88,IMPORTRANGE(""https://docs.google.com/spreadsheets/d/1rG8iy-kKSFDxhVaU60GJ2bpXc8tZqI1bT8U0Ac0DWTU/edit?usp=sharing"",""REGISTRATION!C:V""),19,FALSE),"""")"),"None")</f>
        <v>None</v>
      </c>
    </row>
    <row r="89">
      <c r="C89" s="28" t="s">
        <v>109</v>
      </c>
      <c r="D89" s="23" t="str">
        <f>IFERROR(__xludf.DUMMYFUNCTION("IFNA(
IF(
VLOOKUP(C89,IMPORTRANGE(""https://docs.google.com/spreadsheets/d/1rG8iy-kKSFDxhVaU60GJ2bpXc8tZqI1bT8U0Ac0DWTU/edit?usp=sharing"",""REGISTRATION!C:X""),22,FALSE)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89" s="22" t="str">
        <f>IFERROR(__xludf.DUMMYFUNCTION("IFNA(
IF(
VLOOKUP(C89,IMPORTRANGE(""https://docs.google.com/spreadsheets/d/1rG8iy-kKSFDxhVaU60GJ2bpXc8tZqI1bT8U0Ac0DWTU/edit?usp=sharing"",""REGISTRATION!C:AB""),26,FALSE)
=""No"",
""No Candy"",
""""
),
""""
)"),"")</f>
        <v/>
      </c>
      <c r="F89" s="21" t="str">
        <f>IFERROR(__xludf.DUMMYFUNCTION("IFNA(VLOOKUP(C89,IMPORTRANGE(""https://docs.google.com/spreadsheets/d/1rG8iy-kKSFDxhVaU60GJ2bpXc8tZqI1bT8U0Ac0DWTU/edit?usp=sharing"",""REGISTRATION!C:V""),18,FALSE),"""")"),"None")</f>
        <v>None</v>
      </c>
      <c r="G89" s="21" t="str">
        <f>IFERROR(__xludf.DUMMYFUNCTION("IFNA(VLOOKUP(C89,IMPORTRANGE(""https://docs.google.com/spreadsheets/d/1rG8iy-kKSFDxhVaU60GJ2bpXc8tZqI1bT8U0Ac0DWTU/edit?usp=sharing"",""REGISTRATION!C:V""),20,FALSE),"""")"),"")</f>
        <v/>
      </c>
      <c r="H89" s="21" t="str">
        <f>IFERROR(__xludf.DUMMYFUNCTION("IFNA(VLOOKUP(C89,IMPORTRANGE(""https://docs.google.com/spreadsheets/d/1rG8iy-kKSFDxhVaU60GJ2bpXc8tZqI1bT8U0Ac0DWTU/edit?usp=sharing"",""REGISTRATION!C:V""),19,FALSE),"""")"),"None")</f>
        <v>None</v>
      </c>
    </row>
    <row r="90">
      <c r="C90" s="53" t="s">
        <v>110</v>
      </c>
      <c r="D90" s="19" t="str">
        <f>IFERROR(__xludf.DUMMYFUNCTION("IFNA(
IF(
VLOOKUP(C90,IMPORTRANGE(""https://docs.google.com/spreadsheets/d/1rG8iy-kKSFDxhVaU60GJ2bpXc8tZqI1bT8U0Ac0DWTU/edit?usp=sharing"",""REGISTRATION!C:X""),22,FALSE)
=""I qualify for Free and Reduced Lunch and WOULD like lunch to be provided for my c"&amp;"hild."",
""Yes"",
""""
),
""""
)"),"Yes")</f>
        <v>Yes</v>
      </c>
      <c r="E90" s="18" t="str">
        <f>IFERROR(__xludf.DUMMYFUNCTION("IFNA(
IF(
VLOOKUP(C90,IMPORTRANGE(""https://docs.google.com/spreadsheets/d/1rG8iy-kKSFDxhVaU60GJ2bpXc8tZqI1bT8U0Ac0DWTU/edit?usp=sharing"",""REGISTRATION!C:AB""),26,FALSE)
=""No"",
""No Candy"",
""""
),
""""
)"),"")</f>
        <v/>
      </c>
      <c r="F90" s="19" t="str">
        <f>IFERROR(__xludf.DUMMYFUNCTION("IFNA(VLOOKUP(C90,IMPORTRANGE(""https://docs.google.com/spreadsheets/d/1rG8iy-kKSFDxhVaU60GJ2bpXc8tZqI1bT8U0Ac0DWTU/edit?usp=sharing"",""REGISTRATION!C:V""),18,FALSE),"""")"),"Vegeterian. Egg is ok.")</f>
        <v>Vegeterian. Egg is ok.</v>
      </c>
      <c r="G90" s="17" t="str">
        <f>IFERROR(__xludf.DUMMYFUNCTION("IFNA(VLOOKUP(C90,IMPORTRANGE(""https://docs.google.com/spreadsheets/d/1rG8iy-kKSFDxhVaU60GJ2bpXc8tZqI1bT8U0Ac0DWTU/edit?usp=sharing"",""REGISTRATION!C:V""),20,FALSE),"""")"),"")</f>
        <v/>
      </c>
      <c r="H90" s="17" t="str">
        <f>IFERROR(__xludf.DUMMYFUNCTION("IFNA(VLOOKUP(C90,IMPORTRANGE(""https://docs.google.com/spreadsheets/d/1rG8iy-kKSFDxhVaU60GJ2bpXc8tZqI1bT8U0Ac0DWTU/edit?usp=sharing"",""REGISTRATION!C:V""),19,FALSE),"""")"),"None")</f>
        <v>None</v>
      </c>
    </row>
    <row r="91">
      <c r="C91" s="52" t="s">
        <v>111</v>
      </c>
      <c r="D91" s="27" t="str">
        <f>IFERROR(__xludf.DUMMYFUNCTION("IFNA(
IF(
VLOOKUP(C91,IMPORTRANGE(""https://docs.google.com/spreadsheets/d/1rG8iy-kKSFDxhVaU60GJ2bpXc8tZqI1bT8U0Ac0DWTU/edit?usp=sharing"",""REGISTRATION!C:X""),22,FALSE)
=""I qualify for Free and Reduced Lunch and WOULD like lunch to be provided for my c"&amp;"hild."",
""Yes"",
""""
),
""""
)"),"Yes")</f>
        <v>Yes</v>
      </c>
      <c r="E91" s="26" t="str">
        <f>IFERROR(__xludf.DUMMYFUNCTION("IFNA(
IF(
VLOOKUP(C91,IMPORTRANGE(""https://docs.google.com/spreadsheets/d/1rG8iy-kKSFDxhVaU60GJ2bpXc8tZqI1bT8U0Ac0DWTU/edit?usp=sharing"",""REGISTRATION!C:AB""),26,FALSE)
=""No"",
""No Candy"",
""""
),
""""
)"),"")</f>
        <v/>
      </c>
      <c r="F91" s="25" t="str">
        <f>IFERROR(__xludf.DUMMYFUNCTION("IFNA(VLOOKUP(C91,IMPORTRANGE(""https://docs.google.com/spreadsheets/d/1rG8iy-kKSFDxhVaU60GJ2bpXc8tZqI1bT8U0Ac0DWTU/edit?usp=sharing"",""REGISTRATION!C:V""),18,FALSE),"""")"),"None")</f>
        <v>None</v>
      </c>
      <c r="G91" s="25" t="str">
        <f>IFERROR(__xludf.DUMMYFUNCTION("IFNA(VLOOKUP(C91,IMPORTRANGE(""https://docs.google.com/spreadsheets/d/1rG8iy-kKSFDxhVaU60GJ2bpXc8tZqI1bT8U0Ac0DWTU/edit?usp=sharing"",""REGISTRATION!C:V""),20,FALSE),"""")"),"")</f>
        <v/>
      </c>
      <c r="H91" s="25" t="str">
        <f>IFERROR(__xludf.DUMMYFUNCTION("IFNA(VLOOKUP(C91,IMPORTRANGE(""https://docs.google.com/spreadsheets/d/1rG8iy-kKSFDxhVaU60GJ2bpXc8tZqI1bT8U0Ac0DWTU/edit?usp=sharing"",""REGISTRATION!C:V""),19,FALSE),"""")"),"None")</f>
        <v>None</v>
      </c>
    </row>
    <row r="92">
      <c r="C92" s="28" t="s">
        <v>112</v>
      </c>
      <c r="D92" s="21" t="str">
        <f>IFERROR(__xludf.DUMMYFUNCTION("IFNA(
IF(
VLOOKUP(C92,IMPORTRANGE(""https://docs.google.com/spreadsheets/d/1rG8iy-kKSFDxhVaU60GJ2bpXc8tZqI1bT8U0Ac0DWTU/edit?usp=sharing"",""REGISTRATION!C:X""),22,FALSE)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92" s="22" t="str">
        <f>IFERROR(__xludf.DUMMYFUNCTION("IFNA(
IF(
VLOOKUP(C92,IMPORTRANGE(""https://docs.google.com/spreadsheets/d/1rG8iy-kKSFDxhVaU60GJ2bpXc8tZqI1bT8U0Ac0DWTU/edit?usp=sharing"",""REGISTRATION!C:AB""),26,FALSE)
=""No"",
""No Candy"",
""""
),
""""
)"),"")</f>
        <v/>
      </c>
      <c r="F92" s="21" t="str">
        <f>IFERROR(__xludf.DUMMYFUNCTION("IFNA(VLOOKUP(C92,IMPORTRANGE(""https://docs.google.com/spreadsheets/d/1rG8iy-kKSFDxhVaU60GJ2bpXc8tZqI1bT8U0Ac0DWTU/edit?usp=sharing"",""REGISTRATION!C:V""),18,FALSE),"""")"),"None")</f>
        <v>None</v>
      </c>
      <c r="G92" s="21" t="str">
        <f>IFERROR(__xludf.DUMMYFUNCTION("IFNA(VLOOKUP(C92,IMPORTRANGE(""https://docs.google.com/spreadsheets/d/1rG8iy-kKSFDxhVaU60GJ2bpXc8tZqI1bT8U0Ac0DWTU/edit?usp=sharing"",""REGISTRATION!C:V""),20,FALSE),"""")"),"He's so excited to learn coding!")</f>
        <v>He's so excited to learn coding!</v>
      </c>
      <c r="H92" s="21" t="str">
        <f>IFERROR(__xludf.DUMMYFUNCTION("IFNA(VLOOKUP(C92,IMPORTRANGE(""https://docs.google.com/spreadsheets/d/1rG8iy-kKSFDxhVaU60GJ2bpXc8tZqI1bT8U0Ac0DWTU/edit?usp=sharing"",""REGISTRATION!C:V""),19,FALSE),"""")"),"None")</f>
        <v>None</v>
      </c>
    </row>
    <row r="93">
      <c r="C93" s="28" t="s">
        <v>113</v>
      </c>
      <c r="D93" s="21" t="str">
        <f>IFERROR(__xludf.DUMMYFUNCTION("IFNA(
IF(
VLOOKUP(C93,IMPORTRANGE(""https://docs.google.com/spreadsheets/d/1rG8iy-kKSFDxhVaU60GJ2bpXc8tZqI1bT8U0Ac0DWTU/edit?usp=sharing"",""REGISTRATION!C:X""),22,FALSE)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93" s="22" t="str">
        <f>IFERROR(__xludf.DUMMYFUNCTION("IFNA(
IF(
VLOOKUP(C93,IMPORTRANGE(""https://docs.google.com/spreadsheets/d/1rG8iy-kKSFDxhVaU60GJ2bpXc8tZqI1bT8U0Ac0DWTU/edit?usp=sharing"",""REGISTRATION!C:AB""),26,FALSE)
=""No"",
""No Candy"",
""""
),
""""
)"),"")</f>
        <v/>
      </c>
      <c r="F93" s="21" t="str">
        <f>IFERROR(__xludf.DUMMYFUNCTION("IFNA(VLOOKUP(C93,IMPORTRANGE(""https://docs.google.com/spreadsheets/d/1rG8iy-kKSFDxhVaU60GJ2bpXc8tZqI1bT8U0Ac0DWTU/edit?usp=sharing"",""REGISTRATION!C:V""),18,FALSE),"""")"),"None")</f>
        <v>None</v>
      </c>
      <c r="G93" s="21" t="str">
        <f>IFERROR(__xludf.DUMMYFUNCTION("IFNA(VLOOKUP(C93,IMPORTRANGE(""https://docs.google.com/spreadsheets/d/1rG8iy-kKSFDxhVaU60GJ2bpXc8tZqI1bT8U0Ac0DWTU/edit?usp=sharing"",""REGISTRATION!C:V""),20,FALSE),"""")"),"")</f>
        <v/>
      </c>
      <c r="H93" s="21" t="str">
        <f>IFERROR(__xludf.DUMMYFUNCTION("IFNA(VLOOKUP(C93,IMPORTRANGE(""https://docs.google.com/spreadsheets/d/1rG8iy-kKSFDxhVaU60GJ2bpXc8tZqI1bT8U0Ac0DWTU/edit?usp=sharing"",""REGISTRATION!C:V""),19,FALSE),"""")"),"None")</f>
        <v>None</v>
      </c>
    </row>
    <row r="94">
      <c r="C94" s="28" t="s">
        <v>114</v>
      </c>
      <c r="D94" s="21" t="str">
        <f>IFERROR(__xludf.DUMMYFUNCTION("IFNA(
IF(
VLOOKUP(C94,IMPORTRANGE(""https://docs.google.com/spreadsheets/d/1rG8iy-kKSFDxhVaU60GJ2bpXc8tZqI1bT8U0Ac0DWTU/edit?usp=sharing"",""REGISTRATION!C:X""),22,FALSE)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94" s="22" t="str">
        <f>IFERROR(__xludf.DUMMYFUNCTION("IFNA(
IF(
VLOOKUP(C94,IMPORTRANGE(""https://docs.google.com/spreadsheets/d/1rG8iy-kKSFDxhVaU60GJ2bpXc8tZqI1bT8U0Ac0DWTU/edit?usp=sharing"",""REGISTRATION!C:AB""),26,FALSE)
=""No"",
""No Candy"",
""""
),
""""
)"),"")</f>
        <v/>
      </c>
      <c r="F94" s="21" t="str">
        <f>IFERROR(__xludf.DUMMYFUNCTION("IFNA(VLOOKUP(C94,IMPORTRANGE(""https://docs.google.com/spreadsheets/d/1rG8iy-kKSFDxhVaU60GJ2bpXc8tZqI1bT8U0Ac0DWTU/edit?usp=sharing"",""REGISTRATION!C:V""),18,FALSE),"""")"),"None")</f>
        <v>None</v>
      </c>
      <c r="G94" s="21" t="str">
        <f>IFERROR(__xludf.DUMMYFUNCTION("IFNA(VLOOKUP(C94,IMPORTRANGE(""https://docs.google.com/spreadsheets/d/1rG8iy-kKSFDxhVaU60GJ2bpXc8tZqI1bT8U0Ac0DWTU/edit?usp=sharing"",""REGISTRATION!C:V""),20,FALSE),"""")"),"")</f>
        <v/>
      </c>
      <c r="H94" s="21" t="str">
        <f>IFERROR(__xludf.DUMMYFUNCTION("IFNA(VLOOKUP(C94,IMPORTRANGE(""https://docs.google.com/spreadsheets/d/1rG8iy-kKSFDxhVaU60GJ2bpXc8tZqI1bT8U0Ac0DWTU/edit?usp=sharing"",""REGISTRATION!C:V""),19,FALSE),"""")"),"None")</f>
        <v>None</v>
      </c>
    </row>
    <row r="95">
      <c r="C95" s="28" t="s">
        <v>115</v>
      </c>
      <c r="D95" s="21" t="str">
        <f>IFERROR(__xludf.DUMMYFUNCTION("IFNA(
IF(
VLOOKUP(C95,IMPORTRANGE(""https://docs.google.com/spreadsheets/d/1rG8iy-kKSFDxhVaU60GJ2bpXc8tZqI1bT8U0Ac0DWTU/edit?usp=sharing"",""REGISTRATION!C:X""),22,FALSE)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95" s="22" t="str">
        <f>IFERROR(__xludf.DUMMYFUNCTION("IFNA(
IF(
VLOOKUP(C95,IMPORTRANGE(""https://docs.google.com/spreadsheets/d/1rG8iy-kKSFDxhVaU60GJ2bpXc8tZqI1bT8U0Ac0DWTU/edit?usp=sharing"",""REGISTRATION!C:AB""),26,FALSE)
=""No"",
""No Candy"",
""""
),
""""
)"),"")</f>
        <v/>
      </c>
      <c r="F95" s="21" t="str">
        <f>IFERROR(__xludf.DUMMYFUNCTION("IFNA(VLOOKUP(C95,IMPORTRANGE(""https://docs.google.com/spreadsheets/d/1rG8iy-kKSFDxhVaU60GJ2bpXc8tZqI1bT8U0Ac0DWTU/edit?usp=sharing"",""REGISTRATION!C:V""),18,FALSE),"""")"),"None")</f>
        <v>None</v>
      </c>
      <c r="G95" s="21" t="str">
        <f>IFERROR(__xludf.DUMMYFUNCTION("IFNA(VLOOKUP(C95,IMPORTRANGE(""https://docs.google.com/spreadsheets/d/1rG8iy-kKSFDxhVaU60GJ2bpXc8tZqI1bT8U0Ac0DWTU/edit?usp=sharing"",""REGISTRATION!C:V""),20,FALSE),"""")"),"")</f>
        <v/>
      </c>
      <c r="H95" s="21" t="str">
        <f>IFERROR(__xludf.DUMMYFUNCTION("IFNA(VLOOKUP(C95,IMPORTRANGE(""https://docs.google.com/spreadsheets/d/1rG8iy-kKSFDxhVaU60GJ2bpXc8tZqI1bT8U0Ac0DWTU/edit?usp=sharing"",""REGISTRATION!C:V""),19,FALSE),"""")"),"None")</f>
        <v>None</v>
      </c>
    </row>
    <row r="96">
      <c r="C96" s="28" t="s">
        <v>116</v>
      </c>
      <c r="D96" s="21" t="str">
        <f>IFERROR(__xludf.DUMMYFUNCTION("IFNA(
IF(
VLOOKUP(C96,IMPORTRANGE(""https://docs.google.com/spreadsheets/d/1rG8iy-kKSFDxhVaU60GJ2bpXc8tZqI1bT8U0Ac0DWTU/edit?usp=sharing"",""REGISTRATION!C:X""),22,FALSE)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96" s="22" t="str">
        <f>IFERROR(__xludf.DUMMYFUNCTION("IFNA(
IF(
VLOOKUP(C96,IMPORTRANGE(""https://docs.google.com/spreadsheets/d/1rG8iy-kKSFDxhVaU60GJ2bpXc8tZqI1bT8U0Ac0DWTU/edit?usp=sharing"",""REGISTRATION!C:AB""),26,FALSE)
=""No"",
""No Candy"",
""""
),
""""
)"),"")</f>
        <v/>
      </c>
      <c r="F96" s="21" t="str">
        <f>IFERROR(__xludf.DUMMYFUNCTION("IFNA(VLOOKUP(C96,IMPORTRANGE(""https://docs.google.com/spreadsheets/d/1rG8iy-kKSFDxhVaU60GJ2bpXc8tZqI1bT8U0Ac0DWTU/edit?usp=sharing"",""REGISTRATION!C:V""),18,FALSE),"""")"),"None")</f>
        <v>None</v>
      </c>
      <c r="G96" s="21" t="str">
        <f>IFERROR(__xludf.DUMMYFUNCTION("IFNA(VLOOKUP(C96,IMPORTRANGE(""https://docs.google.com/spreadsheets/d/1rG8iy-kKSFDxhVaU60GJ2bpXc8tZqI1bT8U0Ac0DWTU/edit?usp=sharing"",""REGISTRATION!C:V""),20,FALSE),"""")"),"")</f>
        <v/>
      </c>
      <c r="H96" s="21" t="str">
        <f>IFERROR(__xludf.DUMMYFUNCTION("IFNA(VLOOKUP(C96,IMPORTRANGE(""https://docs.google.com/spreadsheets/d/1rG8iy-kKSFDxhVaU60GJ2bpXc8tZqI1bT8U0Ac0DWTU/edit?usp=sharing"",""REGISTRATION!C:V""),19,FALSE),"""")"),"None")</f>
        <v>None</v>
      </c>
    </row>
    <row r="97">
      <c r="C97" s="28" t="s">
        <v>117</v>
      </c>
      <c r="D97" s="21" t="str">
        <f>IFERROR(__xludf.DUMMYFUNCTION("IFNA(
IF(
VLOOKUP(C97,IMPORTRANGE(""https://docs.google.com/spreadsheets/d/1rG8iy-kKSFDxhVaU60GJ2bpXc8tZqI1bT8U0Ac0DWTU/edit?usp=sharing"",""REGISTRATION!C:X""),22,FALSE)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97" s="22" t="str">
        <f>IFERROR(__xludf.DUMMYFUNCTION("IFNA(
IF(
VLOOKUP(C97,IMPORTRANGE(""https://docs.google.com/spreadsheets/d/1rG8iy-kKSFDxhVaU60GJ2bpXc8tZqI1bT8U0Ac0DWTU/edit?usp=sharing"",""REGISTRATION!C:AB""),26,FALSE)
=""No"",
""No Candy"",
""""
),
""""
)"),"")</f>
        <v/>
      </c>
      <c r="F97" s="21" t="str">
        <f>IFERROR(__xludf.DUMMYFUNCTION("IFNA(VLOOKUP(C97,IMPORTRANGE(""https://docs.google.com/spreadsheets/d/1rG8iy-kKSFDxhVaU60GJ2bpXc8tZqI1bT8U0Ac0DWTU/edit?usp=sharing"",""REGISTRATION!C:V""),18,FALSE),"""")"),"None")</f>
        <v>None</v>
      </c>
      <c r="G97" s="21" t="str">
        <f>IFERROR(__xludf.DUMMYFUNCTION("IFNA(VLOOKUP(C97,IMPORTRANGE(""https://docs.google.com/spreadsheets/d/1rG8iy-kKSFDxhVaU60GJ2bpXc8tZqI1bT8U0Ac0DWTU/edit?usp=sharing"",""REGISTRATION!C:V""),20,FALSE),"""")"),"")</f>
        <v/>
      </c>
      <c r="H97" s="21" t="str">
        <f>IFERROR(__xludf.DUMMYFUNCTION("IFNA(VLOOKUP(C97,IMPORTRANGE(""https://docs.google.com/spreadsheets/d/1rG8iy-kKSFDxhVaU60GJ2bpXc8tZqI1bT8U0Ac0DWTU/edit?usp=sharing"",""REGISTRATION!C:V""),19,FALSE),"""")"),"None")</f>
        <v>None</v>
      </c>
    </row>
    <row r="98">
      <c r="C98" s="20"/>
      <c r="D98" s="21" t="str">
        <f>IFERROR(__xludf.DUMMYFUNCTION("IFNA(
IF(
VLOOKUP(C98,IMPORTRANGE(""https://docs.google.com/spreadsheets/d/1rG8iy-kKSFDxhVaU60GJ2bpXc8tZqI1bT8U0Ac0DWTU/edit?usp=sharing"",""REGISTRATION!C:X""),22,FALSE)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98" s="22" t="str">
        <f>IFERROR(__xludf.DUMMYFUNCTION("IFNA(
IF(
VLOOKUP(C98,IMPORTRANGE(""https://docs.google.com/spreadsheets/d/1rG8iy-kKSFDxhVaU60GJ2bpXc8tZqI1bT8U0Ac0DWTU/edit?usp=sharing"",""REGISTRATION!C:AB""),26,FALSE)
=""No"",
""No Candy"",
""""
),
""""
)"),"")</f>
        <v/>
      </c>
      <c r="F98" s="21" t="str">
        <f>IFERROR(__xludf.DUMMYFUNCTION("IFNA(VLOOKUP(C98,IMPORTRANGE(""https://docs.google.com/spreadsheets/d/1rG8iy-kKSFDxhVaU60GJ2bpXc8tZqI1bT8U0Ac0DWTU/edit?usp=sharing"",""REGISTRATION!C:V""),18,FALSE),"""")"),"")</f>
        <v/>
      </c>
      <c r="G98" s="21" t="str">
        <f>IFERROR(__xludf.DUMMYFUNCTION("IFNA(VLOOKUP(C98,IMPORTRANGE(""https://docs.google.com/spreadsheets/d/1rG8iy-kKSFDxhVaU60GJ2bpXc8tZqI1bT8U0Ac0DWTU/edit?usp=sharing"",""REGISTRATION!C:V""),20,FALSE),"""")"),"")</f>
        <v/>
      </c>
      <c r="H98" s="21" t="str">
        <f>IFERROR(__xludf.DUMMYFUNCTION("IFNA(VLOOKUP(C98,IMPORTRANGE(""https://docs.google.com/spreadsheets/d/1rG8iy-kKSFDxhVaU60GJ2bpXc8tZqI1bT8U0Ac0DWTU/edit?usp=sharing"",""REGISTRATION!C:V""),19,FALSE),"""")"),"")</f>
        <v/>
      </c>
    </row>
    <row r="99">
      <c r="C99" s="20"/>
      <c r="D99" s="21" t="str">
        <f>IFERROR(__xludf.DUMMYFUNCTION("IFNA(
IF(
VLOOKUP(C99,IMPORTRANGE(""https://docs.google.com/spreadsheets/d/1rG8iy-kKSFDxhVaU60GJ2bpXc8tZqI1bT8U0Ac0DWTU/edit?usp=sharing"",""REGISTRATION!C:X""),22,FALSE)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99" s="22" t="str">
        <f>IFERROR(__xludf.DUMMYFUNCTION("IFNA(
IF(
VLOOKUP(C99,IMPORTRANGE(""https://docs.google.com/spreadsheets/d/1rG8iy-kKSFDxhVaU60GJ2bpXc8tZqI1bT8U0Ac0DWTU/edit?usp=sharing"",""REGISTRATION!C:AB""),26,FALSE)
=""No"",
""No Candy"",
""""
),
""""
)"),"")</f>
        <v/>
      </c>
      <c r="F99" s="21" t="str">
        <f>IFERROR(__xludf.DUMMYFUNCTION("IFNA(VLOOKUP(C99,IMPORTRANGE(""https://docs.google.com/spreadsheets/d/1rG8iy-kKSFDxhVaU60GJ2bpXc8tZqI1bT8U0Ac0DWTU/edit?usp=sharing"",""REGISTRATION!C:V""),18,FALSE),"""")"),"")</f>
        <v/>
      </c>
      <c r="G99" s="21" t="str">
        <f>IFERROR(__xludf.DUMMYFUNCTION("IFNA(VLOOKUP(C99,IMPORTRANGE(""https://docs.google.com/spreadsheets/d/1rG8iy-kKSFDxhVaU60GJ2bpXc8tZqI1bT8U0Ac0DWTU/edit?usp=sharing"",""REGISTRATION!C:V""),20,FALSE),"""")"),"")</f>
        <v/>
      </c>
      <c r="H99" s="21" t="str">
        <f>IFERROR(__xludf.DUMMYFUNCTION("IFNA(VLOOKUP(C99,IMPORTRANGE(""https://docs.google.com/spreadsheets/d/1rG8iy-kKSFDxhVaU60GJ2bpXc8tZqI1bT8U0Ac0DWTU/edit?usp=sharing"",""REGISTRATION!C:V""),19,FALSE),"""")"),"")</f>
        <v/>
      </c>
    </row>
    <row r="100">
      <c r="C100" s="20"/>
      <c r="D100" s="21" t="str">
        <f>IFERROR(__xludf.DUMMYFUNCTION("IFNA(
IF(
VLOOKUP(C100,IMPORTRANGE(""https://docs.google.com/spreadsheets/d/1rG8iy-kKSFDxhVaU60GJ2bpXc8tZqI1bT8U0Ac0DWTU/edit?usp=sharing"",""REGISTRATION!C:X""),22,FALSE)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00" s="22" t="str">
        <f>IFERROR(__xludf.DUMMYFUNCTION("IFNA(
IF(
VLOOKUP(C100,IMPORTRANGE(""https://docs.google.com/spreadsheets/d/1rG8iy-kKSFDxhVaU60GJ2bpXc8tZqI1bT8U0Ac0DWTU/edit?usp=sharing"",""REGISTRATION!C:AB""),26,FALSE)
=""No"",
""No Candy"",
""""
),
""""
)"),"")</f>
        <v/>
      </c>
      <c r="F100" s="21" t="str">
        <f>IFERROR(__xludf.DUMMYFUNCTION("IFNA(VLOOKUP(C100,IMPORTRANGE(""https://docs.google.com/spreadsheets/d/1rG8iy-kKSFDxhVaU60GJ2bpXc8tZqI1bT8U0Ac0DWTU/edit?usp=sharing"",""REGISTRATION!C:V""),18,FALSE),"""")"),"")</f>
        <v/>
      </c>
      <c r="G100" s="21" t="str">
        <f>IFERROR(__xludf.DUMMYFUNCTION("IFNA(VLOOKUP(C100,IMPORTRANGE(""https://docs.google.com/spreadsheets/d/1rG8iy-kKSFDxhVaU60GJ2bpXc8tZqI1bT8U0Ac0DWTU/edit?usp=sharing"",""REGISTRATION!C:V""),20,FALSE),"""")"),"")</f>
        <v/>
      </c>
      <c r="H100" s="21" t="str">
        <f>IFERROR(__xludf.DUMMYFUNCTION("IFNA(VLOOKUP(C100,IMPORTRANGE(""https://docs.google.com/spreadsheets/d/1rG8iy-kKSFDxhVaU60GJ2bpXc8tZqI1bT8U0Ac0DWTU/edit?usp=sharing"",""REGISTRATION!C:V""),19,FALSE),"""")"),"")</f>
        <v/>
      </c>
    </row>
    <row r="101">
      <c r="C101" s="20"/>
      <c r="D101" s="21" t="str">
        <f>IFERROR(__xludf.DUMMYFUNCTION("IFNA(
IF(
VLOOKUP(C101,IMPORTRANGE(""https://docs.google.com/spreadsheets/d/1rG8iy-kKSFDxhVaU60GJ2bpXc8tZqI1bT8U0Ac0DWTU/edit?usp=sharing"",""REGISTRATION!C:X""),22,FALSE)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01" s="22" t="str">
        <f>IFERROR(__xludf.DUMMYFUNCTION("IFNA(
IF(
VLOOKUP(C101,IMPORTRANGE(""https://docs.google.com/spreadsheets/d/1rG8iy-kKSFDxhVaU60GJ2bpXc8tZqI1bT8U0Ac0DWTU/edit?usp=sharing"",""REGISTRATION!C:AB""),26,FALSE)
=""No"",
""No Candy"",
""""
),
""""
)"),"")</f>
        <v/>
      </c>
      <c r="F101" s="21" t="str">
        <f>IFERROR(__xludf.DUMMYFUNCTION("IFNA(VLOOKUP(C101,IMPORTRANGE(""https://docs.google.com/spreadsheets/d/1rG8iy-kKSFDxhVaU60GJ2bpXc8tZqI1bT8U0Ac0DWTU/edit?usp=sharing"",""REGISTRATION!C:V""),18,FALSE),"""")"),"")</f>
        <v/>
      </c>
      <c r="G101" s="21" t="str">
        <f>IFERROR(__xludf.DUMMYFUNCTION("IFNA(VLOOKUP(C101,IMPORTRANGE(""https://docs.google.com/spreadsheets/d/1rG8iy-kKSFDxhVaU60GJ2bpXc8tZqI1bT8U0Ac0DWTU/edit?usp=sharing"",""REGISTRATION!C:V""),20,FALSE),"""")"),"")</f>
        <v/>
      </c>
      <c r="H101" s="21" t="str">
        <f>IFERROR(__xludf.DUMMYFUNCTION("IFNA(VLOOKUP(C101,IMPORTRANGE(""https://docs.google.com/spreadsheets/d/1rG8iy-kKSFDxhVaU60GJ2bpXc8tZqI1bT8U0Ac0DWTU/edit?usp=sharing"",""REGISTRATION!C:V""),19,FALSE),"""")"),"")</f>
        <v/>
      </c>
    </row>
    <row r="102">
      <c r="C102" s="54"/>
      <c r="D102" s="21" t="str">
        <f>IFERROR(__xludf.DUMMYFUNCTION("IFNA(
IF(
VLOOKUP(C102,IMPORTRANGE(""https://docs.google.com/spreadsheets/d/1rG8iy-kKSFDxhVaU60GJ2bpXc8tZqI1bT8U0Ac0DWTU/edit?usp=sharing"",""REGISTRATION!C:X""),22,FALSE)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02" s="22" t="str">
        <f>IFERROR(__xludf.DUMMYFUNCTION("IFNA(
IF(
VLOOKUP(C102,IMPORTRANGE(""https://docs.google.com/spreadsheets/d/1rG8iy-kKSFDxhVaU60GJ2bpXc8tZqI1bT8U0Ac0DWTU/edit?usp=sharing"",""REGISTRATION!C:AB""),26,FALSE)
=""No"",
""No Candy"",
""""
),
""""
)"),"")</f>
        <v/>
      </c>
      <c r="F102" s="21" t="str">
        <f>IFERROR(__xludf.DUMMYFUNCTION("IFNA(VLOOKUP(C102,IMPORTRANGE(""https://docs.google.com/spreadsheets/d/1rG8iy-kKSFDxhVaU60GJ2bpXc8tZqI1bT8U0Ac0DWTU/edit?usp=sharing"",""REGISTRATION!C:V""),18,FALSE),"""")"),"")</f>
        <v/>
      </c>
      <c r="G102" s="21" t="str">
        <f>IFERROR(__xludf.DUMMYFUNCTION("IFNA(VLOOKUP(C102,IMPORTRANGE(""https://docs.google.com/spreadsheets/d/1rG8iy-kKSFDxhVaU60GJ2bpXc8tZqI1bT8U0Ac0DWTU/edit?usp=sharing"",""REGISTRATION!C:V""),20,FALSE),"""")"),"")</f>
        <v/>
      </c>
      <c r="H102" s="21" t="str">
        <f>IFERROR(__xludf.DUMMYFUNCTION("IFNA(VLOOKUP(C102,IMPORTRANGE(""https://docs.google.com/spreadsheets/d/1rG8iy-kKSFDxhVaU60GJ2bpXc8tZqI1bT8U0Ac0DWTU/edit?usp=sharing"",""REGISTRATION!C:V""),19,FALSE),"""")"),"")</f>
        <v/>
      </c>
    </row>
    <row r="103">
      <c r="C103" s="54"/>
      <c r="D103" s="21" t="str">
        <f>IFERROR(__xludf.DUMMYFUNCTION("IFNA(
IF(
VLOOKUP(C103,IMPORTRANGE(""https://docs.google.com/spreadsheets/d/1rG8iy-kKSFDxhVaU60GJ2bpXc8tZqI1bT8U0Ac0DWTU/edit?usp=sharing"",""REGISTRATION!C:X""),22,FALSE)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03" s="22" t="str">
        <f>IFERROR(__xludf.DUMMYFUNCTION("IFNA(
IF(
VLOOKUP(C103,IMPORTRANGE(""https://docs.google.com/spreadsheets/d/1rG8iy-kKSFDxhVaU60GJ2bpXc8tZqI1bT8U0Ac0DWTU/edit?usp=sharing"",""REGISTRATION!C:AB""),26,FALSE)
=""No"",
""No Candy"",
""""
),
""""
)"),"")</f>
        <v/>
      </c>
      <c r="F103" s="21" t="str">
        <f>IFERROR(__xludf.DUMMYFUNCTION("IFNA(VLOOKUP(C103,IMPORTRANGE(""https://docs.google.com/spreadsheets/d/1rG8iy-kKSFDxhVaU60GJ2bpXc8tZqI1bT8U0Ac0DWTU/edit?usp=sharing"",""REGISTRATION!C:V""),18,FALSE),"""")"),"")</f>
        <v/>
      </c>
      <c r="G103" s="21" t="str">
        <f>IFERROR(__xludf.DUMMYFUNCTION("IFNA(VLOOKUP(C103,IMPORTRANGE(""https://docs.google.com/spreadsheets/d/1rG8iy-kKSFDxhVaU60GJ2bpXc8tZqI1bT8U0Ac0DWTU/edit?usp=sharing"",""REGISTRATION!C:V""),20,FALSE),"""")"),"")</f>
        <v/>
      </c>
      <c r="H103" s="21" t="str">
        <f>IFERROR(__xludf.DUMMYFUNCTION("IFNA(VLOOKUP(C103,IMPORTRANGE(""https://docs.google.com/spreadsheets/d/1rG8iy-kKSFDxhVaU60GJ2bpXc8tZqI1bT8U0Ac0DWTU/edit?usp=sharing"",""REGISTRATION!C:V""),19,FALSE),"""")"),"")</f>
        <v/>
      </c>
    </row>
    <row r="104">
      <c r="A104" s="30" t="s">
        <v>118</v>
      </c>
      <c r="B104" s="30" t="s">
        <v>119</v>
      </c>
      <c r="C104" s="16" t="s">
        <v>120</v>
      </c>
      <c r="D104" s="17" t="str">
        <f>IFERROR(__xludf.DUMMYFUNCTION("IFNA(
IF(
VLOOKUP(C104,IMPORTRANGE(""https://docs.google.com/spreadsheets/d/1rG8iy-kKSFDxhVaU60GJ2bpXc8tZqI1bT8U0Ac0DWTU/edit?usp=sharing"",""REGISTRATION!C:X""),22,FALSE)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04" s="18" t="str">
        <f>IFERROR(__xludf.DUMMYFUNCTION("IFNA(
IF(
VLOOKUP(C104,IMPORTRANGE(""https://docs.google.com/spreadsheets/d/1rG8iy-kKSFDxhVaU60GJ2bpXc8tZqI1bT8U0Ac0DWTU/edit?usp=sharing"",""REGISTRATION!C:AB""),26,FALSE)
=""No"",
""No Candy"",
""""
),
""""
)"),"")</f>
        <v/>
      </c>
      <c r="F104" s="19" t="str">
        <f>IFERROR(__xludf.DUMMYFUNCTION("IFNA(VLOOKUP(C104,IMPORTRANGE(""https://docs.google.com/spreadsheets/d/1rG8iy-kKSFDxhVaU60GJ2bpXc8tZqI1bT8U0Ac0DWTU/edit?usp=sharing"",""REGISTRATION!C:V""),18,FALSE),"""")"),"Nuts")</f>
        <v>Nuts</v>
      </c>
      <c r="G104" s="17" t="str">
        <f>IFERROR(__xludf.DUMMYFUNCTION("IFNA(VLOOKUP(C104,IMPORTRANGE(""https://docs.google.com/spreadsheets/d/1rG8iy-kKSFDxhVaU60GJ2bpXc8tZqI1bT8U0Ac0DWTU/edit?usp=sharing"",""REGISTRATION!C:V""),20,FALSE),"""")"),"")</f>
        <v/>
      </c>
      <c r="H104" s="17" t="str">
        <f>IFERROR(__xludf.DUMMYFUNCTION("IFNA(VLOOKUP(C104,IMPORTRANGE(""https://docs.google.com/spreadsheets/d/1rG8iy-kKSFDxhVaU60GJ2bpXc8tZqI1bT8U0Ac0DWTU/edit?usp=sharing"",""REGISTRATION!C:V""),19,FALSE),"""")"),"None")</f>
        <v>None</v>
      </c>
    </row>
    <row r="105">
      <c r="C105" s="24" t="s">
        <v>121</v>
      </c>
      <c r="D105" s="25" t="str">
        <f>IFERROR(__xludf.DUMMYFUNCTION("IFNA(
IF(
VLOOKUP(C105,IMPORTRANGE(""https://docs.google.com/spreadsheets/d/1rG8iy-kKSFDxhVaU60GJ2bpXc8tZqI1bT8U0Ac0DWTU/edit?usp=sharing"",""REGISTRATION!C:X""),22,FALSE)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05" s="18" t="str">
        <f>IFERROR(__xludf.DUMMYFUNCTION("IFNA(
IF(
VLOOKUP(C105,IMPORTRANGE(""https://docs.google.com/spreadsheets/d/1rG8iy-kKSFDxhVaU60GJ2bpXc8tZqI1bT8U0Ac0DWTU/edit?usp=sharing"",""REGISTRATION!C:AB""),26,FALSE)
=""No"",
""No Candy"",
""""
),
""""
)"),"")</f>
        <v/>
      </c>
      <c r="F105" s="19" t="str">
        <f>IFERROR(__xludf.DUMMYFUNCTION("IFNA(VLOOKUP(C105,IMPORTRANGE(""https://docs.google.com/spreadsheets/d/1rG8iy-kKSFDxhVaU60GJ2bpXc8tZqI1bT8U0Ac0DWTU/edit?usp=sharing"",""REGISTRATION!C:V""),18,FALSE),"""")"),"Vegetarian")</f>
        <v>Vegetarian</v>
      </c>
      <c r="G105" s="17" t="str">
        <f>IFERROR(__xludf.DUMMYFUNCTION("IFNA(VLOOKUP(C105,IMPORTRANGE(""https://docs.google.com/spreadsheets/d/1rG8iy-kKSFDxhVaU60GJ2bpXc8tZqI1bT8U0Ac0DWTU/edit?usp=sharing"",""REGISTRATION!C:V""),20,FALSE),"""")"),"")</f>
        <v/>
      </c>
      <c r="H105" s="17" t="str">
        <f>IFERROR(__xludf.DUMMYFUNCTION("IFNA(VLOOKUP(C105,IMPORTRANGE(""https://docs.google.com/spreadsheets/d/1rG8iy-kKSFDxhVaU60GJ2bpXc8tZqI1bT8U0Ac0DWTU/edit?usp=sharing"",""REGISTRATION!C:V""),19,FALSE),"""")"),"None")</f>
        <v>None</v>
      </c>
    </row>
    <row r="106">
      <c r="C106" s="31" t="s">
        <v>122</v>
      </c>
      <c r="D106" s="32" t="str">
        <f>IFERROR(__xludf.DUMMYFUNCTION("IFNA(
IF(
VLOOKUP(C106,IMPORTRANGE(""https://docs.google.com/spreadsheets/d/1rG8iy-kKSFDxhVaU60GJ2bpXc8tZqI1bT8U0Ac0DWTU/edit?usp=sharing"",""REGISTRATION!C:X""),22,FALSE)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06" s="33" t="str">
        <f>IFERROR(__xludf.DUMMYFUNCTION("IFNA(
IF(
VLOOKUP(C106,IMPORTRANGE(""https://docs.google.com/spreadsheets/d/1rG8iy-kKSFDxhVaU60GJ2bpXc8tZqI1bT8U0Ac0DWTU/edit?usp=sharing"",""REGISTRATION!C:AB""),26,FALSE)
=""No"",
""No Candy"",
""""
),
""""
)"),"")</f>
        <v/>
      </c>
      <c r="F106" s="32" t="str">
        <f>IFERROR(__xludf.DUMMYFUNCTION("IFNA(VLOOKUP(C106,IMPORTRANGE(""https://docs.google.com/spreadsheets/d/1rG8iy-kKSFDxhVaU60GJ2bpXc8tZqI1bT8U0Ac0DWTU/edit?usp=sharing"",""REGISTRATION!C:V""),18,FALSE),"""")"),"None")</f>
        <v>None</v>
      </c>
      <c r="G106" s="32" t="str">
        <f>IFERROR(__xludf.DUMMYFUNCTION("IFNA(VLOOKUP(C106,IMPORTRANGE(""https://docs.google.com/spreadsheets/d/1rG8iy-kKSFDxhVaU60GJ2bpXc8tZqI1bT8U0Ac0DWTU/edit?usp=sharing"",""REGISTRATION!C:V""),20,FALSE),"""")"),"attended last year (python) 2 weeks")</f>
        <v>attended last year (python) 2 weeks</v>
      </c>
      <c r="H106" s="32" t="str">
        <f>IFERROR(__xludf.DUMMYFUNCTION("IFNA(VLOOKUP(C106,IMPORTRANGE(""https://docs.google.com/spreadsheets/d/1rG8iy-kKSFDxhVaU60GJ2bpXc8tZqI1bT8U0Ac0DWTU/edit?usp=sharing"",""REGISTRATION!C:V""),19,FALSE),"""")"),"None")</f>
        <v>None</v>
      </c>
    </row>
    <row r="107">
      <c r="C107" s="31" t="s">
        <v>123</v>
      </c>
      <c r="D107" s="32" t="str">
        <f>IFERROR(__xludf.DUMMYFUNCTION("IFNA(
IF(
VLOOKUP(C107,IMPORTRANGE(""https://docs.google.com/spreadsheets/d/1rG8iy-kKSFDxhVaU60GJ2bpXc8tZqI1bT8U0Ac0DWTU/edit?usp=sharing"",""REGISTRATION!C:X""),22,FALSE)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07" s="33" t="str">
        <f>IFERROR(__xludf.DUMMYFUNCTION("IFNA(
IF(
VLOOKUP(C107,IMPORTRANGE(""https://docs.google.com/spreadsheets/d/1rG8iy-kKSFDxhVaU60GJ2bpXc8tZqI1bT8U0Ac0DWTU/edit?usp=sharing"",""REGISTRATION!C:AB""),26,FALSE)
=""No"",
""No Candy"",
""""
),
""""
)"),"")</f>
        <v/>
      </c>
      <c r="F107" s="32" t="str">
        <f>IFERROR(__xludf.DUMMYFUNCTION("IFNA(VLOOKUP(C107,IMPORTRANGE(""https://docs.google.com/spreadsheets/d/1rG8iy-kKSFDxhVaU60GJ2bpXc8tZqI1bT8U0Ac0DWTU/edit?usp=sharing"",""REGISTRATION!C:V""),18,FALSE),"""")"),"None")</f>
        <v>None</v>
      </c>
      <c r="G107" s="32" t="str">
        <f>IFERROR(__xludf.DUMMYFUNCTION("IFNA(VLOOKUP(C107,IMPORTRANGE(""https://docs.google.com/spreadsheets/d/1rG8iy-kKSFDxhVaU60GJ2bpXc8tZqI1bT8U0Ac0DWTU/edit?usp=sharing"",""REGISTRATION!C:V""),20,FALSE),"""")"),"")</f>
        <v/>
      </c>
      <c r="H107" s="32" t="str">
        <f>IFERROR(__xludf.DUMMYFUNCTION("IFNA(VLOOKUP(C107,IMPORTRANGE(""https://docs.google.com/spreadsheets/d/1rG8iy-kKSFDxhVaU60GJ2bpXc8tZqI1bT8U0Ac0DWTU/edit?usp=sharing"",""REGISTRATION!C:V""),19,FALSE),"""")"),"None")</f>
        <v>None</v>
      </c>
    </row>
    <row r="108">
      <c r="C108" s="31" t="s">
        <v>124</v>
      </c>
      <c r="D108" s="32" t="str">
        <f>IFERROR(__xludf.DUMMYFUNCTION("IFNA(
IF(
VLOOKUP(C108,IMPORTRANGE(""https://docs.google.com/spreadsheets/d/1rG8iy-kKSFDxhVaU60GJ2bpXc8tZqI1bT8U0Ac0DWTU/edit?usp=sharing"",""REGISTRATION!C:X""),22,FALSE)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08" s="33" t="str">
        <f>IFERROR(__xludf.DUMMYFUNCTION("IFNA(
IF(
VLOOKUP(C108,IMPORTRANGE(""https://docs.google.com/spreadsheets/d/1rG8iy-kKSFDxhVaU60GJ2bpXc8tZqI1bT8U0Ac0DWTU/edit?usp=sharing"",""REGISTRATION!C:AB""),26,FALSE)
=""No"",
""No Candy"",
""""
),
""""
)"),"")</f>
        <v/>
      </c>
      <c r="F108" s="32" t="str">
        <f>IFERROR(__xludf.DUMMYFUNCTION("IFNA(VLOOKUP(C108,IMPORTRANGE(""https://docs.google.com/spreadsheets/d/1rG8iy-kKSFDxhVaU60GJ2bpXc8tZqI1bT8U0Ac0DWTU/edit?usp=sharing"",""REGISTRATION!C:V""),18,FALSE),"""")"),"None")</f>
        <v>None</v>
      </c>
      <c r="G108" s="32" t="str">
        <f>IFERROR(__xludf.DUMMYFUNCTION("IFNA(VLOOKUP(C108,IMPORTRANGE(""https://docs.google.com/spreadsheets/d/1rG8iy-kKSFDxhVaU60GJ2bpXc8tZqI1bT8U0Ac0DWTU/edit?usp=sharing"",""REGISTRATION!C:V""),20,FALSE),"""")"),"Already had intro to java and python ")</f>
        <v>Already had intro to java and python </v>
      </c>
      <c r="H108" s="32" t="str">
        <f>IFERROR(__xludf.DUMMYFUNCTION("IFNA(VLOOKUP(C108,IMPORTRANGE(""https://docs.google.com/spreadsheets/d/1rG8iy-kKSFDxhVaU60GJ2bpXc8tZqI1bT8U0Ac0DWTU/edit?usp=sharing"",""REGISTRATION!C:V""),19,FALSE),"""")"),"None")</f>
        <v>None</v>
      </c>
    </row>
    <row r="109">
      <c r="C109" s="31" t="s">
        <v>125</v>
      </c>
      <c r="D109" s="32" t="str">
        <f>IFERROR(__xludf.DUMMYFUNCTION("IFNA(
IF(
VLOOKUP(C109,IMPORTRANGE(""https://docs.google.com/spreadsheets/d/1rG8iy-kKSFDxhVaU60GJ2bpXc8tZqI1bT8U0Ac0DWTU/edit?usp=sharing"",""REGISTRATION!C:X""),22,FALSE)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09" s="33" t="str">
        <f>IFERROR(__xludf.DUMMYFUNCTION("IFNA(
IF(
VLOOKUP(C109,IMPORTRANGE(""https://docs.google.com/spreadsheets/d/1rG8iy-kKSFDxhVaU60GJ2bpXc8tZqI1bT8U0Ac0DWTU/edit?usp=sharing"",""REGISTRATION!C:AB""),26,FALSE)
=""No"",
""No Candy"",
""""
),
""""
)"),"")</f>
        <v/>
      </c>
      <c r="F109" s="32" t="str">
        <f>IFERROR(__xludf.DUMMYFUNCTION("IFNA(VLOOKUP(C109,IMPORTRANGE(""https://docs.google.com/spreadsheets/d/1rG8iy-kKSFDxhVaU60GJ2bpXc8tZqI1bT8U0Ac0DWTU/edit?usp=sharing"",""REGISTRATION!C:V""),18,FALSE),"""")"),"None")</f>
        <v>None</v>
      </c>
      <c r="G109" s="32" t="str">
        <f>IFERROR(__xludf.DUMMYFUNCTION("IFNA(VLOOKUP(C109,IMPORTRANGE(""https://docs.google.com/spreadsheets/d/1rG8iy-kKSFDxhVaU60GJ2bpXc8tZqI1bT8U0Ac0DWTU/edit?usp=sharing"",""REGISTRATION!C:V""),20,FALSE),"""")"),"")</f>
        <v/>
      </c>
      <c r="H109" s="32" t="str">
        <f>IFERROR(__xludf.DUMMYFUNCTION("IFNA(VLOOKUP(C109,IMPORTRANGE(""https://docs.google.com/spreadsheets/d/1rG8iy-kKSFDxhVaU60GJ2bpXc8tZqI1bT8U0Ac0DWTU/edit?usp=sharing"",""REGISTRATION!C:V""),19,FALSE),"""")"),"None")</f>
        <v>None</v>
      </c>
    </row>
    <row r="110">
      <c r="C110" s="24" t="s">
        <v>126</v>
      </c>
      <c r="D110" s="25" t="str">
        <f>IFERROR(__xludf.DUMMYFUNCTION("IFNA(
IF(
VLOOKUP(C110,IMPORTRANGE(""https://docs.google.com/spreadsheets/d/1rG8iy-kKSFDxhVaU60GJ2bpXc8tZqI1bT8U0Ac0DWTU/edit?usp=sharing"",""REGISTRATION!C:X""),22,FALSE)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10" s="18" t="str">
        <f>IFERROR(__xludf.DUMMYFUNCTION("IFNA(
IF(
VLOOKUP(C110,IMPORTRANGE(""https://docs.google.com/spreadsheets/d/1rG8iy-kKSFDxhVaU60GJ2bpXc8tZqI1bT8U0Ac0DWTU/edit?usp=sharing"",""REGISTRATION!C:AB""),26,FALSE)
=""No"",
""No Candy"",
""""
),
""""
)"),"")</f>
        <v/>
      </c>
      <c r="F110" s="19" t="str">
        <f>IFERROR(__xludf.DUMMYFUNCTION("IFNA(VLOOKUP(C110,IMPORTRANGE(""https://docs.google.com/spreadsheets/d/1rG8iy-kKSFDxhVaU60GJ2bpXc8tZqI1bT8U0Ac0DWTU/edit?usp=sharing"",""REGISTRATION!C:V""),18,FALSE),"""")"),"Vegetarian")</f>
        <v>Vegetarian</v>
      </c>
      <c r="G110" s="17" t="str">
        <f>IFERROR(__xludf.DUMMYFUNCTION("IFNA(VLOOKUP(C110,IMPORTRANGE(""https://docs.google.com/spreadsheets/d/1rG8iy-kKSFDxhVaU60GJ2bpXc8tZqI1bT8U0Ac0DWTU/edit?usp=sharing"",""REGISTRATION!C:V""),20,FALSE),"""")"),"")</f>
        <v/>
      </c>
      <c r="H110" s="17" t="str">
        <f>IFERROR(__xludf.DUMMYFUNCTION("IFNA(VLOOKUP(C110,IMPORTRANGE(""https://docs.google.com/spreadsheets/d/1rG8iy-kKSFDxhVaU60GJ2bpXc8tZqI1bT8U0Ac0DWTU/edit?usp=sharing"",""REGISTRATION!C:V""),19,FALSE),"""")"),"None")</f>
        <v>None</v>
      </c>
    </row>
    <row r="111">
      <c r="C111" s="31" t="s">
        <v>127</v>
      </c>
      <c r="D111" s="32" t="str">
        <f>IFERROR(__xludf.DUMMYFUNCTION("IFNA(
IF(
VLOOKUP(C111,IMPORTRANGE(""https://docs.google.com/spreadsheets/d/1rG8iy-kKSFDxhVaU60GJ2bpXc8tZqI1bT8U0Ac0DWTU/edit?usp=sharing"",""REGISTRATION!C:X""),22,FALSE)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11" s="33" t="str">
        <f>IFERROR(__xludf.DUMMYFUNCTION("IFNA(
IF(
VLOOKUP(C111,IMPORTRANGE(""https://docs.google.com/spreadsheets/d/1rG8iy-kKSFDxhVaU60GJ2bpXc8tZqI1bT8U0Ac0DWTU/edit?usp=sharing"",""REGISTRATION!C:AB""),26,FALSE)
=""No"",
""No Candy"",
""""
),
""""
)"),"")</f>
        <v/>
      </c>
      <c r="F111" s="32" t="str">
        <f>IFERROR(__xludf.DUMMYFUNCTION("IFNA(VLOOKUP(C111,IMPORTRANGE(""https://docs.google.com/spreadsheets/d/1rG8iy-kKSFDxhVaU60GJ2bpXc8tZqI1bT8U0Ac0DWTU/edit?usp=sharing"",""REGISTRATION!C:V""),18,FALSE),"""")"),"None")</f>
        <v>None</v>
      </c>
      <c r="G111" s="32" t="str">
        <f>IFERROR(__xludf.DUMMYFUNCTION("IFNA(VLOOKUP(C111,IMPORTRANGE(""https://docs.google.com/spreadsheets/d/1rG8iy-kKSFDxhVaU60GJ2bpXc8tZqI1bT8U0Ac0DWTU/edit?usp=sharing"",""REGISTRATION!C:V""),20,FALSE),"""")"),"")</f>
        <v/>
      </c>
      <c r="H111" s="32" t="str">
        <f>IFERROR(__xludf.DUMMYFUNCTION("IFNA(VLOOKUP(C111,IMPORTRANGE(""https://docs.google.com/spreadsheets/d/1rG8iy-kKSFDxhVaU60GJ2bpXc8tZqI1bT8U0Ac0DWTU/edit?usp=sharing"",""REGISTRATION!C:V""),19,FALSE),"""")"),"None")</f>
        <v>None</v>
      </c>
    </row>
    <row r="112">
      <c r="C112" s="31" t="s">
        <v>128</v>
      </c>
      <c r="D112" s="32" t="str">
        <f>IFERROR(__xludf.DUMMYFUNCTION("IFNA(
IF(
VLOOKUP(C112,IMPORTRANGE(""https://docs.google.com/spreadsheets/d/1rG8iy-kKSFDxhVaU60GJ2bpXc8tZqI1bT8U0Ac0DWTU/edit?usp=sharing"",""REGISTRATION!C:X""),22,FALSE)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12" s="33" t="str">
        <f>IFERROR(__xludf.DUMMYFUNCTION("IFNA(
IF(
VLOOKUP(C112,IMPORTRANGE(""https://docs.google.com/spreadsheets/d/1rG8iy-kKSFDxhVaU60GJ2bpXc8tZqI1bT8U0Ac0DWTU/edit?usp=sharing"",""REGISTRATION!C:AB""),26,FALSE)
=""No"",
""No Candy"",
""""
),
""""
)"),"")</f>
        <v/>
      </c>
      <c r="F112" s="32" t="str">
        <f>IFERROR(__xludf.DUMMYFUNCTION("IFNA(VLOOKUP(C112,IMPORTRANGE(""https://docs.google.com/spreadsheets/d/1rG8iy-kKSFDxhVaU60GJ2bpXc8tZqI1bT8U0Ac0DWTU/edit?usp=sharing"",""REGISTRATION!C:V""),18,FALSE),"""")"),"None")</f>
        <v>None</v>
      </c>
      <c r="G112" s="32" t="str">
        <f>IFERROR(__xludf.DUMMYFUNCTION("IFNA(VLOOKUP(C112,IMPORTRANGE(""https://docs.google.com/spreadsheets/d/1rG8iy-kKSFDxhVaU60GJ2bpXc8tZqI1bT8U0Ac0DWTU/edit?usp=sharing"",""REGISTRATION!C:V""),20,FALSE),"""")"),"None")</f>
        <v>None</v>
      </c>
      <c r="H112" s="32" t="str">
        <f>IFERROR(__xludf.DUMMYFUNCTION("IFNA(VLOOKUP(C112,IMPORTRANGE(""https://docs.google.com/spreadsheets/d/1rG8iy-kKSFDxhVaU60GJ2bpXc8tZqI1bT8U0Ac0DWTU/edit?usp=sharing"",""REGISTRATION!C:V""),19,FALSE),"""")"),"None")</f>
        <v>None</v>
      </c>
    </row>
    <row r="113">
      <c r="C113" s="31" t="s">
        <v>129</v>
      </c>
      <c r="D113" s="32" t="str">
        <f>IFERROR(__xludf.DUMMYFUNCTION("IFNA(
IF(
VLOOKUP(C113,IMPORTRANGE(""https://docs.google.com/spreadsheets/d/1rG8iy-kKSFDxhVaU60GJ2bpXc8tZqI1bT8U0Ac0DWTU/edit?usp=sharing"",""REGISTRATION!C:X""),22,FALSE)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13" s="33" t="str">
        <f>IFERROR(__xludf.DUMMYFUNCTION("IFNA(
IF(
VLOOKUP(C113,IMPORTRANGE(""https://docs.google.com/spreadsheets/d/1rG8iy-kKSFDxhVaU60GJ2bpXc8tZqI1bT8U0Ac0DWTU/edit?usp=sharing"",""REGISTRATION!C:AB""),26,FALSE)
=""No"",
""No Candy"",
""""
),
""""
)"),"")</f>
        <v/>
      </c>
      <c r="F113" s="32" t="str">
        <f>IFERROR(__xludf.DUMMYFUNCTION("IFNA(VLOOKUP(C113,IMPORTRANGE(""https://docs.google.com/spreadsheets/d/1rG8iy-kKSFDxhVaU60GJ2bpXc8tZqI1bT8U0Ac0DWTU/edit?usp=sharing"",""REGISTRATION!C:V""),18,FALSE),"""")"),"None")</f>
        <v>None</v>
      </c>
      <c r="G113" s="32" t="str">
        <f>IFERROR(__xludf.DUMMYFUNCTION("IFNA(VLOOKUP(C113,IMPORTRANGE(""https://docs.google.com/spreadsheets/d/1rG8iy-kKSFDxhVaU60GJ2bpXc8tZqI1bT8U0Ac0DWTU/edit?usp=sharing"",""REGISTRATION!C:V""),20,FALSE),"""")"),"")</f>
        <v/>
      </c>
      <c r="H113" s="32" t="str">
        <f>IFERROR(__xludf.DUMMYFUNCTION("IFNA(VLOOKUP(C113,IMPORTRANGE(""https://docs.google.com/spreadsheets/d/1rG8iy-kKSFDxhVaU60GJ2bpXc8tZqI1bT8U0Ac0DWTU/edit?usp=sharing"",""REGISTRATION!C:V""),19,FALSE),"""")"),"None")</f>
        <v>None</v>
      </c>
    </row>
    <row r="114">
      <c r="C114" s="31" t="s">
        <v>130</v>
      </c>
      <c r="D114" s="32" t="str">
        <f>IFERROR(__xludf.DUMMYFUNCTION("IFNA(
IF(
VLOOKUP(C114,IMPORTRANGE(""https://docs.google.com/spreadsheets/d/1rG8iy-kKSFDxhVaU60GJ2bpXc8tZqI1bT8U0Ac0DWTU/edit?usp=sharing"",""REGISTRATION!C:X""),22,FALSE)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14" s="33" t="str">
        <f>IFERROR(__xludf.DUMMYFUNCTION("IFNA(
IF(
VLOOKUP(C114,IMPORTRANGE(""https://docs.google.com/spreadsheets/d/1rG8iy-kKSFDxhVaU60GJ2bpXc8tZqI1bT8U0Ac0DWTU/edit?usp=sharing"",""REGISTRATION!C:AB""),26,FALSE)
=""No"",
""No Candy"",
""""
),
""""
)"),"")</f>
        <v/>
      </c>
      <c r="F114" s="32" t="str">
        <f>IFERROR(__xludf.DUMMYFUNCTION("IFNA(VLOOKUP(C114,IMPORTRANGE(""https://docs.google.com/spreadsheets/d/1rG8iy-kKSFDxhVaU60GJ2bpXc8tZqI1bT8U0Ac0DWTU/edit?usp=sharing"",""REGISTRATION!C:V""),18,FALSE),"""")"),"None")</f>
        <v>None</v>
      </c>
      <c r="G114" s="32" t="str">
        <f>IFERROR(__xludf.DUMMYFUNCTION("IFNA(VLOOKUP(C114,IMPORTRANGE(""https://docs.google.com/spreadsheets/d/1rG8iy-kKSFDxhVaU60GJ2bpXc8tZqI1bT8U0Ac0DWTU/edit?usp=sharing"",""REGISTRATION!C:V""),20,FALSE),"""")"),"")</f>
        <v/>
      </c>
      <c r="H114" s="32" t="str">
        <f>IFERROR(__xludf.DUMMYFUNCTION("IFNA(VLOOKUP(C114,IMPORTRANGE(""https://docs.google.com/spreadsheets/d/1rG8iy-kKSFDxhVaU60GJ2bpXc8tZqI1bT8U0Ac0DWTU/edit?usp=sharing"",""REGISTRATION!C:V""),19,FALSE),"""")"),"None")</f>
        <v>None</v>
      </c>
    </row>
    <row r="115">
      <c r="C115" s="16" t="s">
        <v>131</v>
      </c>
      <c r="D115" s="17" t="str">
        <f>IFERROR(__xludf.DUMMYFUNCTION("IFNA(
IF(
VLOOKUP(C115,IMPORTRANGE(""https://docs.google.com/spreadsheets/d/1rG8iy-kKSFDxhVaU60GJ2bpXc8tZqI1bT8U0Ac0DWTU/edit?usp=sharing"",""REGISTRATION!C:X""),22,FALSE)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15" s="18" t="str">
        <f>IFERROR(__xludf.DUMMYFUNCTION("IFNA(
IF(
VLOOKUP(C115,IMPORTRANGE(""https://docs.google.com/spreadsheets/d/1rG8iy-kKSFDxhVaU60GJ2bpXc8tZqI1bT8U0Ac0DWTU/edit?usp=sharing"",""REGISTRATION!C:AB""),26,FALSE)
=""No"",
""No Candy"",
""""
),
""""
)"),"")</f>
        <v/>
      </c>
      <c r="F115" s="19" t="str">
        <f>IFERROR(__xludf.DUMMYFUNCTION("IFNA(VLOOKUP(C115,IMPORTRANGE(""https://docs.google.com/spreadsheets/d/1rG8iy-kKSFDxhVaU60GJ2bpXc8tZqI1bT8U0Ac0DWTU/edit?usp=sharing"",""REGISTRATION!C:V""),18,FALSE),"""")"),"lactose")</f>
        <v>lactose</v>
      </c>
      <c r="G115" s="17" t="str">
        <f>IFERROR(__xludf.DUMMYFUNCTION("IFNA(VLOOKUP(C115,IMPORTRANGE(""https://docs.google.com/spreadsheets/d/1rG8iy-kKSFDxhVaU60GJ2bpXc8tZqI1bT8U0Ac0DWTU/edit?usp=sharing"",""REGISTRATION!C:V""),20,FALSE),"""")"),"Mom will need a room")</f>
        <v>Mom will need a room</v>
      </c>
      <c r="H115" s="19" t="str">
        <f>IFERROR(__xludf.DUMMYFUNCTION("IFNA(VLOOKUP(C115,IMPORTRANGE(""https://docs.google.com/spreadsheets/d/1rG8iy-kKSFDxhVaU60GJ2bpXc8tZqI1bT8U0Ac0DWTU/edit?usp=sharing"",""REGISTRATION!C:V""),19,FALSE),"""")"),"Autism- twice exceptional")</f>
        <v>Autism- twice exceptional</v>
      </c>
    </row>
    <row r="116">
      <c r="C116" s="31" t="s">
        <v>132</v>
      </c>
      <c r="D116" s="32" t="str">
        <f>IFERROR(__xludf.DUMMYFUNCTION("IFNA(
IF(
VLOOKUP(C116,IMPORTRANGE(""https://docs.google.com/spreadsheets/d/1rG8iy-kKSFDxhVaU60GJ2bpXc8tZqI1bT8U0Ac0DWTU/edit?usp=sharing"",""REGISTRATION!C:X""),22,FALSE)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16" s="33" t="str">
        <f>IFERROR(__xludf.DUMMYFUNCTION("IFNA(
IF(
VLOOKUP(C116,IMPORTRANGE(""https://docs.google.com/spreadsheets/d/1rG8iy-kKSFDxhVaU60GJ2bpXc8tZqI1bT8U0Ac0DWTU/edit?usp=sharing"",""REGISTRATION!C:AB""),26,FALSE)
=""No"",
""No Candy"",
""""
),
""""
)"),"")</f>
        <v/>
      </c>
      <c r="F116" s="32" t="str">
        <f>IFERROR(__xludf.DUMMYFUNCTION("IFNA(VLOOKUP(C116,IMPORTRANGE(""https://docs.google.com/spreadsheets/d/1rG8iy-kKSFDxhVaU60GJ2bpXc8tZqI1bT8U0Ac0DWTU/edit?usp=sharing"",""REGISTRATION!C:V""),18,FALSE),"""")"),"None")</f>
        <v>None</v>
      </c>
      <c r="G116" s="32" t="str">
        <f>IFERROR(__xludf.DUMMYFUNCTION("IFNA(VLOOKUP(C116,IMPORTRANGE(""https://docs.google.com/spreadsheets/d/1rG8iy-kKSFDxhVaU60GJ2bpXc8tZqI1bT8U0Ac0DWTU/edit?usp=sharing"",""REGISTRATION!C:V""),20,FALSE),"""")"),"")</f>
        <v/>
      </c>
      <c r="H116" s="32" t="str">
        <f>IFERROR(__xludf.DUMMYFUNCTION("IFNA(VLOOKUP(C116,IMPORTRANGE(""https://docs.google.com/spreadsheets/d/1rG8iy-kKSFDxhVaU60GJ2bpXc8tZqI1bT8U0Ac0DWTU/edit?usp=sharing"",""REGISTRATION!C:V""),19,FALSE),"""")"),"None")</f>
        <v>None</v>
      </c>
    </row>
    <row r="117">
      <c r="C117" s="31" t="s">
        <v>133</v>
      </c>
      <c r="D117" s="32" t="str">
        <f>IFERROR(__xludf.DUMMYFUNCTION("IFNA(
IF(
VLOOKUP(C117,IMPORTRANGE(""https://docs.google.com/spreadsheets/d/1rG8iy-kKSFDxhVaU60GJ2bpXc8tZqI1bT8U0Ac0DWTU/edit?usp=sharing"",""REGISTRATION!C:X""),22,FALSE)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17" s="33" t="str">
        <f>IFERROR(__xludf.DUMMYFUNCTION("IFNA(
IF(
VLOOKUP(C117,IMPORTRANGE(""https://docs.google.com/spreadsheets/d/1rG8iy-kKSFDxhVaU60GJ2bpXc8tZqI1bT8U0Ac0DWTU/edit?usp=sharing"",""REGISTRATION!C:AB""),26,FALSE)
=""No"",
""No Candy"",
""""
),
""""
)"),"")</f>
        <v/>
      </c>
      <c r="F117" s="32" t="str">
        <f>IFERROR(__xludf.DUMMYFUNCTION("IFNA(VLOOKUP(C117,IMPORTRANGE(""https://docs.google.com/spreadsheets/d/1rG8iy-kKSFDxhVaU60GJ2bpXc8tZqI1bT8U0Ac0DWTU/edit?usp=sharing"",""REGISTRATION!C:V""),18,FALSE),"""")"),"None")</f>
        <v>None</v>
      </c>
      <c r="G117" s="32" t="str">
        <f>IFERROR(__xludf.DUMMYFUNCTION("IFNA(VLOOKUP(C117,IMPORTRANGE(""https://docs.google.com/spreadsheets/d/1rG8iy-kKSFDxhVaU60GJ2bpXc8tZqI1bT8U0Ac0DWTU/edit?usp=sharing"",""REGISTRATION!C:V""),20,FALSE),"""")"),"")</f>
        <v/>
      </c>
      <c r="H117" s="32" t="str">
        <f>IFERROR(__xludf.DUMMYFUNCTION("IFNA(VLOOKUP(C117,IMPORTRANGE(""https://docs.google.com/spreadsheets/d/1rG8iy-kKSFDxhVaU60GJ2bpXc8tZqI1bT8U0Ac0DWTU/edit?usp=sharing"",""REGISTRATION!C:V""),19,FALSE),"""")"),"None")</f>
        <v>None</v>
      </c>
    </row>
    <row r="118">
      <c r="C118" s="31"/>
      <c r="D118" s="32" t="str">
        <f>IFERROR(__xludf.DUMMYFUNCTION("IFNA(
IF(
VLOOKUP(C118,IMPORTRANGE(""https://docs.google.com/spreadsheets/d/1rG8iy-kKSFDxhVaU60GJ2bpXc8tZqI1bT8U0Ac0DWTU/edit?usp=sharing"",""REGISTRATION!C:X""),22,FALSE)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18" s="33" t="str">
        <f>IFERROR(__xludf.DUMMYFUNCTION("IFNA(
IF(
VLOOKUP(C118,IMPORTRANGE(""https://docs.google.com/spreadsheets/d/1rG8iy-kKSFDxhVaU60GJ2bpXc8tZqI1bT8U0Ac0DWTU/edit?usp=sharing"",""REGISTRATION!C:AB""),26,FALSE)
=""No"",
""No Candy"",
""""
),
""""
)"),"")</f>
        <v/>
      </c>
      <c r="F118" s="32" t="str">
        <f>IFERROR(__xludf.DUMMYFUNCTION("IFNA(VLOOKUP(C118,IMPORTRANGE(""https://docs.google.com/spreadsheets/d/1rG8iy-kKSFDxhVaU60GJ2bpXc8tZqI1bT8U0Ac0DWTU/edit?usp=sharing"",""REGISTRATION!C:V""),18,FALSE),"""")"),"")</f>
        <v/>
      </c>
      <c r="G118" s="32" t="str">
        <f>IFERROR(__xludf.DUMMYFUNCTION("IFNA(VLOOKUP(C118,IMPORTRANGE(""https://docs.google.com/spreadsheets/d/1rG8iy-kKSFDxhVaU60GJ2bpXc8tZqI1bT8U0Ac0DWTU/edit?usp=sharing"",""REGISTRATION!C:V""),20,FALSE),"""")"),"")</f>
        <v/>
      </c>
      <c r="H118" s="32" t="str">
        <f>IFERROR(__xludf.DUMMYFUNCTION("IFNA(VLOOKUP(C118,IMPORTRANGE(""https://docs.google.com/spreadsheets/d/1rG8iy-kKSFDxhVaU60GJ2bpXc8tZqI1bT8U0Ac0DWTU/edit?usp=sharing"",""REGISTRATION!C:V""),19,FALSE),"""")"),"")</f>
        <v/>
      </c>
    </row>
    <row r="119">
      <c r="C119" s="31"/>
      <c r="D119" s="32" t="str">
        <f>IFERROR(__xludf.DUMMYFUNCTION("IFNA(
IF(
VLOOKUP(C119,IMPORTRANGE(""https://docs.google.com/spreadsheets/d/1rG8iy-kKSFDxhVaU60GJ2bpXc8tZqI1bT8U0Ac0DWTU/edit?usp=sharing"",""REGISTRATION!C:X""),22,FALSE)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19" s="33" t="str">
        <f>IFERROR(__xludf.DUMMYFUNCTION("IFNA(
IF(
VLOOKUP(C119,IMPORTRANGE(""https://docs.google.com/spreadsheets/d/1rG8iy-kKSFDxhVaU60GJ2bpXc8tZqI1bT8U0Ac0DWTU/edit?usp=sharing"",""REGISTRATION!C:AB""),26,FALSE)
=""No"",
""No Candy"",
""""
),
""""
)"),"")</f>
        <v/>
      </c>
      <c r="F119" s="32" t="str">
        <f>IFERROR(__xludf.DUMMYFUNCTION("IFNA(VLOOKUP(C119,IMPORTRANGE(""https://docs.google.com/spreadsheets/d/1rG8iy-kKSFDxhVaU60GJ2bpXc8tZqI1bT8U0Ac0DWTU/edit?usp=sharing"",""REGISTRATION!C:V""),18,FALSE),"""")"),"")</f>
        <v/>
      </c>
      <c r="G119" s="32" t="str">
        <f>IFERROR(__xludf.DUMMYFUNCTION("IFNA(VLOOKUP(C119,IMPORTRANGE(""https://docs.google.com/spreadsheets/d/1rG8iy-kKSFDxhVaU60GJ2bpXc8tZqI1bT8U0Ac0DWTU/edit?usp=sharing"",""REGISTRATION!C:V""),20,FALSE),"""")"),"")</f>
        <v/>
      </c>
      <c r="H119" s="32" t="str">
        <f>IFERROR(__xludf.DUMMYFUNCTION("IFNA(VLOOKUP(C119,IMPORTRANGE(""https://docs.google.com/spreadsheets/d/1rG8iy-kKSFDxhVaU60GJ2bpXc8tZqI1bT8U0Ac0DWTU/edit?usp=sharing"",""REGISTRATION!C:V""),19,FALSE),"""")"),"")</f>
        <v/>
      </c>
    </row>
    <row r="120">
      <c r="C120" s="31"/>
      <c r="D120" s="32" t="str">
        <f>IFERROR(__xludf.DUMMYFUNCTION("IFNA(
IF(
VLOOKUP(C120,IMPORTRANGE(""https://docs.google.com/spreadsheets/d/1rG8iy-kKSFDxhVaU60GJ2bpXc8tZqI1bT8U0Ac0DWTU/edit?usp=sharing"",""REGISTRATION!C:X""),22,FALSE)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20" s="33" t="str">
        <f>IFERROR(__xludf.DUMMYFUNCTION("IFNA(
IF(
VLOOKUP(C120,IMPORTRANGE(""https://docs.google.com/spreadsheets/d/1rG8iy-kKSFDxhVaU60GJ2bpXc8tZqI1bT8U0Ac0DWTU/edit?usp=sharing"",""REGISTRATION!C:AB""),26,FALSE)
=""No"",
""No Candy"",
""""
),
""""
)"),"")</f>
        <v/>
      </c>
      <c r="F120" s="32" t="str">
        <f>IFERROR(__xludf.DUMMYFUNCTION("IFNA(VLOOKUP(C120,IMPORTRANGE(""https://docs.google.com/spreadsheets/d/1rG8iy-kKSFDxhVaU60GJ2bpXc8tZqI1bT8U0Ac0DWTU/edit?usp=sharing"",""REGISTRATION!C:V""),18,FALSE),"""")"),"")</f>
        <v/>
      </c>
      <c r="G120" s="32" t="str">
        <f>IFERROR(__xludf.DUMMYFUNCTION("IFNA(VLOOKUP(C120,IMPORTRANGE(""https://docs.google.com/spreadsheets/d/1rG8iy-kKSFDxhVaU60GJ2bpXc8tZqI1bT8U0Ac0DWTU/edit?usp=sharing"",""REGISTRATION!C:V""),20,FALSE),"""")"),"")</f>
        <v/>
      </c>
      <c r="H120" s="32" t="str">
        <f>IFERROR(__xludf.DUMMYFUNCTION("IFNA(VLOOKUP(C120,IMPORTRANGE(""https://docs.google.com/spreadsheets/d/1rG8iy-kKSFDxhVaU60GJ2bpXc8tZqI1bT8U0Ac0DWTU/edit?usp=sharing"",""REGISTRATION!C:V""),19,FALSE),"""")"),"")</f>
        <v/>
      </c>
    </row>
    <row r="121">
      <c r="C121" s="31"/>
      <c r="D121" s="32" t="str">
        <f>IFERROR(__xludf.DUMMYFUNCTION("IFNA(
IF(
VLOOKUP(C121,IMPORTRANGE(""https://docs.google.com/spreadsheets/d/1rG8iy-kKSFDxhVaU60GJ2bpXc8tZqI1bT8U0Ac0DWTU/edit?usp=sharing"",""REGISTRATION!C:X""),22,FALSE)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21" s="33" t="str">
        <f>IFERROR(__xludf.DUMMYFUNCTION("IFNA(
IF(
VLOOKUP(C121,IMPORTRANGE(""https://docs.google.com/spreadsheets/d/1rG8iy-kKSFDxhVaU60GJ2bpXc8tZqI1bT8U0Ac0DWTU/edit?usp=sharing"",""REGISTRATION!C:AB""),26,FALSE)
=""No"",
""No Candy"",
""""
),
""""
)"),"")</f>
        <v/>
      </c>
      <c r="F121" s="32" t="str">
        <f>IFERROR(__xludf.DUMMYFUNCTION("IFNA(VLOOKUP(C121,IMPORTRANGE(""https://docs.google.com/spreadsheets/d/1rG8iy-kKSFDxhVaU60GJ2bpXc8tZqI1bT8U0Ac0DWTU/edit?usp=sharing"",""REGISTRATION!C:V""),18,FALSE),"""")"),"")</f>
        <v/>
      </c>
      <c r="G121" s="32" t="str">
        <f>IFERROR(__xludf.DUMMYFUNCTION("IFNA(VLOOKUP(C121,IMPORTRANGE(""https://docs.google.com/spreadsheets/d/1rG8iy-kKSFDxhVaU60GJ2bpXc8tZqI1bT8U0Ac0DWTU/edit?usp=sharing"",""REGISTRATION!C:V""),20,FALSE),"""")"),"")</f>
        <v/>
      </c>
      <c r="H121" s="32" t="str">
        <f>IFERROR(__xludf.DUMMYFUNCTION("IFNA(VLOOKUP(C121,IMPORTRANGE(""https://docs.google.com/spreadsheets/d/1rG8iy-kKSFDxhVaU60GJ2bpXc8tZqI1bT8U0Ac0DWTU/edit?usp=sharing"",""REGISTRATION!C:V""),19,FALSE),"""")"),"")</f>
        <v/>
      </c>
    </row>
    <row r="122">
      <c r="C122" s="31"/>
      <c r="D122" s="32" t="str">
        <f>IFERROR(__xludf.DUMMYFUNCTION("IFNA(
IF(
VLOOKUP(C122,IMPORTRANGE(""https://docs.google.com/spreadsheets/d/1rG8iy-kKSFDxhVaU60GJ2bpXc8tZqI1bT8U0Ac0DWTU/edit?usp=sharing"",""REGISTRATION!C:X""),22,FALSE)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22" s="33" t="str">
        <f>IFERROR(__xludf.DUMMYFUNCTION("IFNA(
IF(
VLOOKUP(C122,IMPORTRANGE(""https://docs.google.com/spreadsheets/d/1rG8iy-kKSFDxhVaU60GJ2bpXc8tZqI1bT8U0Ac0DWTU/edit?usp=sharing"",""REGISTRATION!C:AB""),26,FALSE)
=""No"",
""No Candy"",
""""
),
""""
)"),"")</f>
        <v/>
      </c>
      <c r="F122" s="32" t="str">
        <f>IFERROR(__xludf.DUMMYFUNCTION("IFNA(VLOOKUP(C122,IMPORTRANGE(""https://docs.google.com/spreadsheets/d/1rG8iy-kKSFDxhVaU60GJ2bpXc8tZqI1bT8U0Ac0DWTU/edit?usp=sharing"",""REGISTRATION!C:V""),18,FALSE),"""")"),"")</f>
        <v/>
      </c>
      <c r="G122" s="32" t="str">
        <f>IFERROR(__xludf.DUMMYFUNCTION("IFNA(VLOOKUP(C122,IMPORTRANGE(""https://docs.google.com/spreadsheets/d/1rG8iy-kKSFDxhVaU60GJ2bpXc8tZqI1bT8U0Ac0DWTU/edit?usp=sharing"",""REGISTRATION!C:V""),20,FALSE),"""")"),"")</f>
        <v/>
      </c>
      <c r="H122" s="32" t="str">
        <f>IFERROR(__xludf.DUMMYFUNCTION("IFNA(VLOOKUP(C122,IMPORTRANGE(""https://docs.google.com/spreadsheets/d/1rG8iy-kKSFDxhVaU60GJ2bpXc8tZqI1bT8U0Ac0DWTU/edit?usp=sharing"",""REGISTRATION!C:V""),19,FALSE),"""")"),"")</f>
        <v/>
      </c>
    </row>
    <row r="123">
      <c r="D123" s="32" t="str">
        <f>IFERROR(__xludf.DUMMYFUNCTION("IFNA(
IF(
VLOOKUP(C123,IMPORTRANGE(""https://docs.google.com/spreadsheets/d/1rG8iy-kKSFDxhVaU60GJ2bpXc8tZqI1bT8U0Ac0DWTU/edit?usp=sharing"",""REGISTRATION!C:X""),22,FALSE)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23" s="33" t="str">
        <f>IFERROR(__xludf.DUMMYFUNCTION("IFNA(
IF(
VLOOKUP(C123,IMPORTRANGE(""https://docs.google.com/spreadsheets/d/1rG8iy-kKSFDxhVaU60GJ2bpXc8tZqI1bT8U0Ac0DWTU/edit?usp=sharing"",""REGISTRATION!C:AB""),26,FALSE)
=""No"",
""No Candy"",
""""
),
""""
)"),"")</f>
        <v/>
      </c>
      <c r="F123" s="32" t="str">
        <f>IFERROR(__xludf.DUMMYFUNCTION("IFNA(VLOOKUP(C123,IMPORTRANGE(""https://docs.google.com/spreadsheets/d/1rG8iy-kKSFDxhVaU60GJ2bpXc8tZqI1bT8U0Ac0DWTU/edit?usp=sharing"",""REGISTRATION!C:V""),18,FALSE),"""")"),"")</f>
        <v/>
      </c>
      <c r="G123" s="32" t="str">
        <f>IFERROR(__xludf.DUMMYFUNCTION("IFNA(VLOOKUP(C123,IMPORTRANGE(""https://docs.google.com/spreadsheets/d/1rG8iy-kKSFDxhVaU60GJ2bpXc8tZqI1bT8U0Ac0DWTU/edit?usp=sharing"",""REGISTRATION!C:V""),20,FALSE),"""")"),"")</f>
        <v/>
      </c>
      <c r="H123" s="32" t="str">
        <f>IFERROR(__xludf.DUMMYFUNCTION("IFNA(VLOOKUP(C123,IMPORTRANGE(""https://docs.google.com/spreadsheets/d/1rG8iy-kKSFDxhVaU60GJ2bpXc8tZqI1bT8U0Ac0DWTU/edit?usp=sharing"",""REGISTRATION!C:V""),19,FALSE),"""")"),"")</f>
        <v/>
      </c>
    </row>
    <row r="124">
      <c r="A124" s="15" t="s">
        <v>134</v>
      </c>
      <c r="B124" s="15" t="s">
        <v>135</v>
      </c>
      <c r="C124" s="20" t="s">
        <v>136</v>
      </c>
      <c r="D124" s="21" t="str">
        <f>IFERROR(__xludf.DUMMYFUNCTION("IFNA(
IF(
VLOOKUP(C124,IMPORTRANGE(""https://docs.google.com/spreadsheets/d/1rG8iy-kKSFDxhVaU60GJ2bpXc8tZqI1bT8U0Ac0DWTU/edit?usp=sharing"",""REGISTRATION!C:X""),22,FALSE)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24" s="22" t="str">
        <f>IFERROR(__xludf.DUMMYFUNCTION("IFNA(
IF(
VLOOKUP(C124,IMPORTRANGE(""https://docs.google.com/spreadsheets/d/1rG8iy-kKSFDxhVaU60GJ2bpXc8tZqI1bT8U0Ac0DWTU/edit?usp=sharing"",""REGISTRATION!C:AB""),26,FALSE)
=""No"",
""No Candy"",
""""
),
""""
)"),"")</f>
        <v/>
      </c>
      <c r="F124" s="21" t="str">
        <f>IFERROR(__xludf.DUMMYFUNCTION("IFNA(VLOOKUP(C124,IMPORTRANGE(""https://docs.google.com/spreadsheets/d/1rG8iy-kKSFDxhVaU60GJ2bpXc8tZqI1bT8U0Ac0DWTU/edit?usp=sharing"",""REGISTRATION!C:V""),18,FALSE),"""")"),"None")</f>
        <v>None</v>
      </c>
      <c r="G124" s="21" t="str">
        <f>IFERROR(__xludf.DUMMYFUNCTION("IFNA(VLOOKUP(C124,IMPORTRANGE(""https://docs.google.com/spreadsheets/d/1rG8iy-kKSFDxhVaU60GJ2bpXc8tZqI1bT8U0Ac0DWTU/edit?usp=sharing"",""REGISTRATION!C:V""),20,FALSE),"""")"),"")</f>
        <v/>
      </c>
      <c r="H124" s="21" t="str">
        <f>IFERROR(__xludf.DUMMYFUNCTION("IFNA(VLOOKUP(C124,IMPORTRANGE(""https://docs.google.com/spreadsheets/d/1rG8iy-kKSFDxhVaU60GJ2bpXc8tZqI1bT8U0Ac0DWTU/edit?usp=sharing"",""REGISTRATION!C:V""),19,FALSE),"""")"),"None")</f>
        <v>None</v>
      </c>
    </row>
    <row r="125">
      <c r="C125" s="20"/>
      <c r="D125" s="21"/>
      <c r="E125" s="22"/>
      <c r="F125" s="21"/>
      <c r="G125" s="21"/>
      <c r="H125" s="21"/>
    </row>
    <row r="126">
      <c r="C126" s="20" t="s">
        <v>137</v>
      </c>
      <c r="D126" s="21" t="str">
        <f>IFERROR(__xludf.DUMMYFUNCTION("IFNA(
IF(
VLOOKUP(C126,IMPORTRANGE(""https://docs.google.com/spreadsheets/d/1rG8iy-kKSFDxhVaU60GJ2bpXc8tZqI1bT8U0Ac0DWTU/edit?usp=sharing"",""REGISTRATION!C:X""),22,FALSE)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26" s="22" t="str">
        <f>IFERROR(__xludf.DUMMYFUNCTION("IFNA(
IF(
VLOOKUP(C126,IMPORTRANGE(""https://docs.google.com/spreadsheets/d/1rG8iy-kKSFDxhVaU60GJ2bpXc8tZqI1bT8U0Ac0DWTU/edit?usp=sharing"",""REGISTRATION!C:AB""),26,FALSE)
=""No"",
""No Candy"",
""""
),
""""
)"),"")</f>
        <v/>
      </c>
      <c r="F126" s="21" t="str">
        <f>IFERROR(__xludf.DUMMYFUNCTION("IFNA(VLOOKUP(C126,IMPORTRANGE(""https://docs.google.com/spreadsheets/d/1rG8iy-kKSFDxhVaU60GJ2bpXc8tZqI1bT8U0Ac0DWTU/edit?usp=sharing"",""REGISTRATION!C:V""),18,FALSE),"""")"),"None")</f>
        <v>None</v>
      </c>
      <c r="G126" s="21" t="str">
        <f>IFERROR(__xludf.DUMMYFUNCTION("IFNA(VLOOKUP(C126,IMPORTRANGE(""https://docs.google.com/spreadsheets/d/1rG8iy-kKSFDxhVaU60GJ2bpXc8tZqI1bT8U0Ac0DWTU/edit?usp=sharing"",""REGISTRATION!C:V""),20,FALSE),"""")"),"")</f>
        <v/>
      </c>
      <c r="H126" s="21" t="str">
        <f>IFERROR(__xludf.DUMMYFUNCTION("IFNA(VLOOKUP(C126,IMPORTRANGE(""https://docs.google.com/spreadsheets/d/1rG8iy-kKSFDxhVaU60GJ2bpXc8tZqI1bT8U0Ac0DWTU/edit?usp=sharing"",""REGISTRATION!C:V""),19,FALSE),"""")"),"None")</f>
        <v>None</v>
      </c>
    </row>
    <row r="127">
      <c r="C127" s="16" t="s">
        <v>138</v>
      </c>
      <c r="D127" s="17" t="str">
        <f>IFERROR(__xludf.DUMMYFUNCTION("IFNA(
IF(
VLOOKUP(C127,IMPORTRANGE(""https://docs.google.com/spreadsheets/d/1rG8iy-kKSFDxhVaU60GJ2bpXc8tZqI1bT8U0Ac0DWTU/edit?usp=sharing"",""REGISTRATION!C:X""),22,FALSE)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27" s="47" t="str">
        <f>IFERROR(__xludf.DUMMYFUNCTION("IFNA(
IF(
VLOOKUP(C127,IMPORTRANGE(""https://docs.google.com/spreadsheets/d/1rG8iy-kKSFDxhVaU60GJ2bpXc8tZqI1bT8U0Ac0DWTU/edit?usp=sharing"",""REGISTRATION!C:AB""),26,FALSE)
=""No"",
""No Candy"",
""""
),
""""
)"),"No Candy")</f>
        <v>No Candy</v>
      </c>
      <c r="F127" s="17" t="str">
        <f>IFERROR(__xludf.DUMMYFUNCTION("IFNA(VLOOKUP(C127,IMPORTRANGE(""https://docs.google.com/spreadsheets/d/1rG8iy-kKSFDxhVaU60GJ2bpXc8tZqI1bT8U0Ac0DWTU/edit?usp=sharing"",""REGISTRATION!C:V""),18,FALSE),"""")"),"None")</f>
        <v>None</v>
      </c>
      <c r="G127" s="17" t="str">
        <f>IFERROR(__xludf.DUMMYFUNCTION("IFNA(VLOOKUP(C127,IMPORTRANGE(""https://docs.google.com/spreadsheets/d/1rG8iy-kKSFDxhVaU60GJ2bpXc8tZqI1bT8U0Ac0DWTU/edit?usp=sharing"",""REGISTRATION!C:V""),20,FALSE),"""")"),"He loves coding. Thanks")</f>
        <v>He loves coding. Thanks</v>
      </c>
      <c r="H127" s="17" t="str">
        <f>IFERROR(__xludf.DUMMYFUNCTION("IFNA(VLOOKUP(C127,IMPORTRANGE(""https://docs.google.com/spreadsheets/d/1rG8iy-kKSFDxhVaU60GJ2bpXc8tZqI1bT8U0Ac0DWTU/edit?usp=sharing"",""REGISTRATION!C:V""),19,FALSE),"""")"),"None")</f>
        <v>None</v>
      </c>
    </row>
    <row r="128">
      <c r="C128" s="20" t="s">
        <v>139</v>
      </c>
      <c r="D128" s="21" t="str">
        <f>IFERROR(__xludf.DUMMYFUNCTION("IFNA(
IF(
VLOOKUP(C128,IMPORTRANGE(""https://docs.google.com/spreadsheets/d/1rG8iy-kKSFDxhVaU60GJ2bpXc8tZqI1bT8U0Ac0DWTU/edit?usp=sharing"",""REGISTRATION!C:X""),22,FALSE)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28" s="22" t="str">
        <f>IFERROR(__xludf.DUMMYFUNCTION("IFNA(
IF(
VLOOKUP(C128,IMPORTRANGE(""https://docs.google.com/spreadsheets/d/1rG8iy-kKSFDxhVaU60GJ2bpXc8tZqI1bT8U0Ac0DWTU/edit?usp=sharing"",""REGISTRATION!C:AB""),26,FALSE)
=""No"",
""No Candy"",
""""
),
""""
)"),"")</f>
        <v/>
      </c>
      <c r="F128" s="21" t="str">
        <f>IFERROR(__xludf.DUMMYFUNCTION("IFNA(VLOOKUP(C128,IMPORTRANGE(""https://docs.google.com/spreadsheets/d/1rG8iy-kKSFDxhVaU60GJ2bpXc8tZqI1bT8U0Ac0DWTU/edit?usp=sharing"",""REGISTRATION!C:V""),18,FALSE),"""")"),"None")</f>
        <v>None</v>
      </c>
      <c r="G128" s="21" t="str">
        <f>IFERROR(__xludf.DUMMYFUNCTION("IFNA(VLOOKUP(C128,IMPORTRANGE(""https://docs.google.com/spreadsheets/d/1rG8iy-kKSFDxhVaU60GJ2bpXc8tZqI1bT8U0Ac0DWTU/edit?usp=sharing"",""REGISTRATION!C:V""),20,FALSE),"""")"),"")</f>
        <v/>
      </c>
      <c r="H128" s="23" t="str">
        <f>IFERROR(__xludf.DUMMYFUNCTION("IFNA(VLOOKUP(C128,IMPORTRANGE(""https://docs.google.com/spreadsheets/d/1rG8iy-kKSFDxhVaU60GJ2bpXc8tZqI1bT8U0Ac0DWTU/edit?usp=sharing"",""REGISTRATION!C:V""),19,FALSE),"""")"),"ASD, ADHD")</f>
        <v>ASD, ADHD</v>
      </c>
    </row>
    <row r="129">
      <c r="C129" s="20" t="s">
        <v>140</v>
      </c>
      <c r="D129" s="21" t="str">
        <f>IFERROR(__xludf.DUMMYFUNCTION("IFNA(
IF(
VLOOKUP(C129,IMPORTRANGE(""https://docs.google.com/spreadsheets/d/1rG8iy-kKSFDxhVaU60GJ2bpXc8tZqI1bT8U0Ac0DWTU/edit?usp=sharing"",""REGISTRATION!C:X""),22,FALSE)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29" s="22" t="str">
        <f>IFERROR(__xludf.DUMMYFUNCTION("IFNA(
IF(
VLOOKUP(C129,IMPORTRANGE(""https://docs.google.com/spreadsheets/d/1rG8iy-kKSFDxhVaU60GJ2bpXc8tZqI1bT8U0Ac0DWTU/edit?usp=sharing"",""REGISTRATION!C:AB""),26,FALSE)
=""No"",
""No Candy"",
""""
),
""""
)"),"")</f>
        <v/>
      </c>
      <c r="F129" s="21" t="str">
        <f>IFERROR(__xludf.DUMMYFUNCTION("IFNA(VLOOKUP(C129,IMPORTRANGE(""https://docs.google.com/spreadsheets/d/1rG8iy-kKSFDxhVaU60GJ2bpXc8tZqI1bT8U0Ac0DWTU/edit?usp=sharing"",""REGISTRATION!C:V""),18,FALSE),"""")"),"None")</f>
        <v>None</v>
      </c>
      <c r="G129" s="21" t="str">
        <f>IFERROR(__xludf.DUMMYFUNCTION("IFNA(VLOOKUP(C129,IMPORTRANGE(""https://docs.google.com/spreadsheets/d/1rG8iy-kKSFDxhVaU60GJ2bpXc8tZqI1bT8U0Ac0DWTU/edit?usp=sharing"",""REGISTRATION!C:V""),20,FALSE),"""")"),"")</f>
        <v/>
      </c>
      <c r="H129" s="21" t="str">
        <f>IFERROR(__xludf.DUMMYFUNCTION("IFNA(VLOOKUP(C129,IMPORTRANGE(""https://docs.google.com/spreadsheets/d/1rG8iy-kKSFDxhVaU60GJ2bpXc8tZqI1bT8U0Ac0DWTU/edit?usp=sharing"",""REGISTRATION!C:V""),19,FALSE),"""")"),"None")</f>
        <v>None</v>
      </c>
    </row>
    <row r="130">
      <c r="C130" s="20" t="s">
        <v>141</v>
      </c>
      <c r="D130" s="21" t="str">
        <f>IFERROR(__xludf.DUMMYFUNCTION("IFNA(
IF(
VLOOKUP(C130,IMPORTRANGE(""https://docs.google.com/spreadsheets/d/1rG8iy-kKSFDxhVaU60GJ2bpXc8tZqI1bT8U0Ac0DWTU/edit?usp=sharing"",""REGISTRATION!C:X""),22,FALSE)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30" s="22" t="str">
        <f>IFERROR(__xludf.DUMMYFUNCTION("IFNA(
IF(
VLOOKUP(C130,IMPORTRANGE(""https://docs.google.com/spreadsheets/d/1rG8iy-kKSFDxhVaU60GJ2bpXc8tZqI1bT8U0Ac0DWTU/edit?usp=sharing"",""REGISTRATION!C:AB""),26,FALSE)
=""No"",
""No Candy"",
""""
),
""""
)"),"")</f>
        <v/>
      </c>
      <c r="F130" s="21" t="str">
        <f>IFERROR(__xludf.DUMMYFUNCTION("IFNA(VLOOKUP(C130,IMPORTRANGE(""https://docs.google.com/spreadsheets/d/1rG8iy-kKSFDxhVaU60GJ2bpXc8tZqI1bT8U0Ac0DWTU/edit?usp=sharing"",""REGISTRATION!C:V""),18,FALSE),"""")"),"None")</f>
        <v>None</v>
      </c>
      <c r="G130" s="21" t="str">
        <f>IFERROR(__xludf.DUMMYFUNCTION("IFNA(VLOOKUP(C130,IMPORTRANGE(""https://docs.google.com/spreadsheets/d/1rG8iy-kKSFDxhVaU60GJ2bpXc8tZqI1bT8U0Ac0DWTU/edit?usp=sharing"",""REGISTRATION!C:V""),20,FALSE),"""")"),"")</f>
        <v/>
      </c>
      <c r="H130" s="21" t="str">
        <f>IFERROR(__xludf.DUMMYFUNCTION("IFNA(VLOOKUP(C130,IMPORTRANGE(""https://docs.google.com/spreadsheets/d/1rG8iy-kKSFDxhVaU60GJ2bpXc8tZqI1bT8U0Ac0DWTU/edit?usp=sharing"",""REGISTRATION!C:V""),19,FALSE),"""")"),"None")</f>
        <v>None</v>
      </c>
    </row>
    <row r="131">
      <c r="C131" s="20" t="s">
        <v>142</v>
      </c>
      <c r="D131" s="21" t="str">
        <f>IFERROR(__xludf.DUMMYFUNCTION("IFNA(
IF(
VLOOKUP(C131,IMPORTRANGE(""https://docs.google.com/spreadsheets/d/1rG8iy-kKSFDxhVaU60GJ2bpXc8tZqI1bT8U0Ac0DWTU/edit?usp=sharing"",""REGISTRATION!C:X""),22,FALSE)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31" s="22" t="str">
        <f>IFERROR(__xludf.DUMMYFUNCTION("IFNA(
IF(
VLOOKUP(C131,IMPORTRANGE(""https://docs.google.com/spreadsheets/d/1rG8iy-kKSFDxhVaU60GJ2bpXc8tZqI1bT8U0Ac0DWTU/edit?usp=sharing"",""REGISTRATION!C:AB""),26,FALSE)
=""No"",
""No Candy"",
""""
),
""""
)"),"")</f>
        <v/>
      </c>
      <c r="F131" s="21" t="str">
        <f>IFERROR(__xludf.DUMMYFUNCTION("IFNA(VLOOKUP(C131,IMPORTRANGE(""https://docs.google.com/spreadsheets/d/1rG8iy-kKSFDxhVaU60GJ2bpXc8tZqI1bT8U0Ac0DWTU/edit?usp=sharing"",""REGISTRATION!C:V""),18,FALSE),"""")"),"None")</f>
        <v>None</v>
      </c>
      <c r="G131" s="21" t="str">
        <f>IFERROR(__xludf.DUMMYFUNCTION("IFNA(VLOOKUP(C131,IMPORTRANGE(""https://docs.google.com/spreadsheets/d/1rG8iy-kKSFDxhVaU60GJ2bpXc8tZqI1bT8U0Ac0DWTU/edit?usp=sharing"",""REGISTRATION!C:V""),20,FALSE),"""")"),"")</f>
        <v/>
      </c>
      <c r="H131" s="21" t="str">
        <f>IFERROR(__xludf.DUMMYFUNCTION("IFNA(VLOOKUP(C131,IMPORTRANGE(""https://docs.google.com/spreadsheets/d/1rG8iy-kKSFDxhVaU60GJ2bpXc8tZqI1bT8U0Ac0DWTU/edit?usp=sharing"",""REGISTRATION!C:V""),19,FALSE),"""")"),"None")</f>
        <v>None</v>
      </c>
    </row>
    <row r="132">
      <c r="C132" s="24" t="s">
        <v>143</v>
      </c>
      <c r="D132" s="25" t="str">
        <f>IFERROR(__xludf.DUMMYFUNCTION("IFNA(
IF(
VLOOKUP(C132,IMPORTRANGE(""https://docs.google.com/spreadsheets/d/1rG8iy-kKSFDxhVaU60GJ2bpXc8tZqI1bT8U0Ac0DWTU/edit?usp=sharing"",""REGISTRATION!C:X""),22,FALSE)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32" s="26" t="str">
        <f>IFERROR(__xludf.DUMMYFUNCTION("IFNA(
IF(
VLOOKUP(C132,IMPORTRANGE(""https://docs.google.com/spreadsheets/d/1rG8iy-kKSFDxhVaU60GJ2bpXc8tZqI1bT8U0Ac0DWTU/edit?usp=sharing"",""REGISTRATION!C:AB""),26,FALSE)
=""No"",
""No Candy"",
""""
),
""""
)"),"")</f>
        <v/>
      </c>
      <c r="F132" s="25" t="str">
        <f>IFERROR(__xludf.DUMMYFUNCTION("IFNA(VLOOKUP(C132,IMPORTRANGE(""https://docs.google.com/spreadsheets/d/1rG8iy-kKSFDxhVaU60GJ2bpXc8tZqI1bT8U0Ac0DWTU/edit?usp=sharing"",""REGISTRATION!C:V""),18,FALSE),"""")"),"None")</f>
        <v>None</v>
      </c>
      <c r="G132" s="25" t="str">
        <f>IFERROR(__xludf.DUMMYFUNCTION("IFNA(VLOOKUP(C132,IMPORTRANGE(""https://docs.google.com/spreadsheets/d/1rG8iy-kKSFDxhVaU60GJ2bpXc8tZqI1bT8U0Ac0DWTU/edit?usp=sharing"",""REGISTRATION!C:V""),20,FALSE),"""")"),"Is well versed in python but needs to review ")</f>
        <v>Is well versed in python but needs to review </v>
      </c>
      <c r="H132" s="25" t="str">
        <f>IFERROR(__xludf.DUMMYFUNCTION("IFNA(VLOOKUP(C132,IMPORTRANGE(""https://docs.google.com/spreadsheets/d/1rG8iy-kKSFDxhVaU60GJ2bpXc8tZqI1bT8U0Ac0DWTU/edit?usp=sharing"",""REGISTRATION!C:V""),19,FALSE),"""")"),"None")</f>
        <v>None</v>
      </c>
    </row>
    <row r="133">
      <c r="C133" s="20" t="s">
        <v>144</v>
      </c>
      <c r="D133" s="21" t="str">
        <f>IFERROR(__xludf.DUMMYFUNCTION("IFNA(
IF(
VLOOKUP(C133,IMPORTRANGE(""https://docs.google.com/spreadsheets/d/1rG8iy-kKSFDxhVaU60GJ2bpXc8tZqI1bT8U0Ac0DWTU/edit?usp=sharing"",""REGISTRATION!C:X""),22,FALSE)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33" s="22" t="str">
        <f>IFERROR(__xludf.DUMMYFUNCTION("IFNA(
IF(
VLOOKUP(C133,IMPORTRANGE(""https://docs.google.com/spreadsheets/d/1rG8iy-kKSFDxhVaU60GJ2bpXc8tZqI1bT8U0Ac0DWTU/edit?usp=sharing"",""REGISTRATION!C:AB""),26,FALSE)
=""No"",
""No Candy"",
""""
),
""""
)"),"")</f>
        <v/>
      </c>
      <c r="F133" s="21" t="str">
        <f>IFERROR(__xludf.DUMMYFUNCTION("IFNA(VLOOKUP(C133,IMPORTRANGE(""https://docs.google.com/spreadsheets/d/1rG8iy-kKSFDxhVaU60GJ2bpXc8tZqI1bT8U0Ac0DWTU/edit?usp=sharing"",""REGISTRATION!C:V""),18,FALSE),"""")"),"None")</f>
        <v>None</v>
      </c>
      <c r="G133" s="21" t="str">
        <f>IFERROR(__xludf.DUMMYFUNCTION("IFNA(VLOOKUP(C133,IMPORTRANGE(""https://docs.google.com/spreadsheets/d/1rG8iy-kKSFDxhVaU60GJ2bpXc8tZqI1bT8U0Ac0DWTU/edit?usp=sharing"",""REGISTRATION!C:V""),20,FALSE),"""")"),"")</f>
        <v/>
      </c>
      <c r="H133" s="21" t="str">
        <f>IFERROR(__xludf.DUMMYFUNCTION("IFNA(VLOOKUP(C133,IMPORTRANGE(""https://docs.google.com/spreadsheets/d/1rG8iy-kKSFDxhVaU60GJ2bpXc8tZqI1bT8U0Ac0DWTU/edit?usp=sharing"",""REGISTRATION!C:V""),19,FALSE),"""")"),"None")</f>
        <v>None</v>
      </c>
    </row>
    <row r="134">
      <c r="C134" s="20" t="s">
        <v>145</v>
      </c>
      <c r="D134" s="21" t="str">
        <f>IFERROR(__xludf.DUMMYFUNCTION("IFNA(
IF(
VLOOKUP(C134,IMPORTRANGE(""https://docs.google.com/spreadsheets/d/1rG8iy-kKSFDxhVaU60GJ2bpXc8tZqI1bT8U0Ac0DWTU/edit?usp=sharing"",""REGISTRATION!C:X""),22,FALSE)
=""I qualify for Free and Reduced Lunch and WOULD like lunch to be provided for my "&amp;"child."",
""Yes"",
""""
),
""""
)"),"Yes")</f>
        <v>Yes</v>
      </c>
      <c r="E134" s="22" t="str">
        <f>IFERROR(__xludf.DUMMYFUNCTION("IFNA(
IF(
VLOOKUP(C134,IMPORTRANGE(""https://docs.google.com/spreadsheets/d/1rG8iy-kKSFDxhVaU60GJ2bpXc8tZqI1bT8U0Ac0DWTU/edit?usp=sharing"",""REGISTRATION!C:AB""),26,FALSE)
=""No"",
""No Candy"",
""""
),
""""
)"),"")</f>
        <v/>
      </c>
      <c r="F134" s="21" t="str">
        <f>IFERROR(__xludf.DUMMYFUNCTION("IFNA(VLOOKUP(C134,IMPORTRANGE(""https://docs.google.com/spreadsheets/d/1rG8iy-kKSFDxhVaU60GJ2bpXc8tZqI1bT8U0Ac0DWTU/edit?usp=sharing"",""REGISTRATION!C:V""),18,FALSE),"""")"),"None")</f>
        <v>None</v>
      </c>
      <c r="G134" s="21" t="str">
        <f>IFERROR(__xludf.DUMMYFUNCTION("IFNA(VLOOKUP(C134,IMPORTRANGE(""https://docs.google.com/spreadsheets/d/1rG8iy-kKSFDxhVaU60GJ2bpXc8tZqI1bT8U0Ac0DWTU/edit?usp=sharing"",""REGISTRATION!C:V""),20,FALSE),"""")"),"")</f>
        <v/>
      </c>
      <c r="H134" s="21" t="str">
        <f>IFERROR(__xludf.DUMMYFUNCTION("IFNA(VLOOKUP(C134,IMPORTRANGE(""https://docs.google.com/spreadsheets/d/1rG8iy-kKSFDxhVaU60GJ2bpXc8tZqI1bT8U0Ac0DWTU/edit?usp=sharing"",""REGISTRATION!C:V""),19,FALSE),"""")"),"None")</f>
        <v>None</v>
      </c>
    </row>
    <row r="135">
      <c r="C135" s="20"/>
      <c r="D135" s="21" t="str">
        <f>IFERROR(__xludf.DUMMYFUNCTION("IFNA(
IF(
VLOOKUP(C135,IMPORTRANGE(""https://docs.google.com/spreadsheets/d/1rG8iy-kKSFDxhVaU60GJ2bpXc8tZqI1bT8U0Ac0DWTU/edit?usp=sharing"",""REGISTRATION!C:X""),22,FALSE)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35" s="22" t="str">
        <f>IFERROR(__xludf.DUMMYFUNCTION("IFNA(
IF(
VLOOKUP(C135,IMPORTRANGE(""https://docs.google.com/spreadsheets/d/1rG8iy-kKSFDxhVaU60GJ2bpXc8tZqI1bT8U0Ac0DWTU/edit?usp=sharing"",""REGISTRATION!C:AB""),26,FALSE)
=""No"",
""No Candy"",
""""
),
""""
)"),"")</f>
        <v/>
      </c>
      <c r="F135" s="21" t="str">
        <f>IFERROR(__xludf.DUMMYFUNCTION("IFNA(VLOOKUP(C135,IMPORTRANGE(""https://docs.google.com/spreadsheets/d/1rG8iy-kKSFDxhVaU60GJ2bpXc8tZqI1bT8U0Ac0DWTU/edit?usp=sharing"",""REGISTRATION!C:V""),18,FALSE),"""")"),"")</f>
        <v/>
      </c>
      <c r="G135" s="21" t="str">
        <f>IFERROR(__xludf.DUMMYFUNCTION("IFNA(VLOOKUP(C135,IMPORTRANGE(""https://docs.google.com/spreadsheets/d/1rG8iy-kKSFDxhVaU60GJ2bpXc8tZqI1bT8U0Ac0DWTU/edit?usp=sharing"",""REGISTRATION!C:V""),20,FALSE),"""")"),"")</f>
        <v/>
      </c>
      <c r="H135" s="21" t="str">
        <f>IFERROR(__xludf.DUMMYFUNCTION("IFNA(VLOOKUP(C135,IMPORTRANGE(""https://docs.google.com/spreadsheets/d/1rG8iy-kKSFDxhVaU60GJ2bpXc8tZqI1bT8U0Ac0DWTU/edit?usp=sharing"",""REGISTRATION!C:V""),19,FALSE),"""")"),"")</f>
        <v/>
      </c>
    </row>
    <row r="136">
      <c r="C136" s="20"/>
      <c r="D136" s="21" t="str">
        <f>IFERROR(__xludf.DUMMYFUNCTION("IFNA(
IF(
VLOOKUP(C136,IMPORTRANGE(""https://docs.google.com/spreadsheets/d/1rG8iy-kKSFDxhVaU60GJ2bpXc8tZqI1bT8U0Ac0DWTU/edit?usp=sharing"",""REGISTRATION!C:X""),22,FALSE)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36" s="22" t="str">
        <f>IFERROR(__xludf.DUMMYFUNCTION("IFNA(
IF(
VLOOKUP(C136,IMPORTRANGE(""https://docs.google.com/spreadsheets/d/1rG8iy-kKSFDxhVaU60GJ2bpXc8tZqI1bT8U0Ac0DWTU/edit?usp=sharing"",""REGISTRATION!C:AB""),26,FALSE)
=""No"",
""No Candy"",
""""
),
""""
)"),"")</f>
        <v/>
      </c>
      <c r="F136" s="21" t="str">
        <f>IFERROR(__xludf.DUMMYFUNCTION("IFNA(VLOOKUP(C136,IMPORTRANGE(""https://docs.google.com/spreadsheets/d/1rG8iy-kKSFDxhVaU60GJ2bpXc8tZqI1bT8U0Ac0DWTU/edit?usp=sharing"",""REGISTRATION!C:V""),18,FALSE),"""")"),"")</f>
        <v/>
      </c>
      <c r="G136" s="21" t="str">
        <f>IFERROR(__xludf.DUMMYFUNCTION("IFNA(VLOOKUP(C136,IMPORTRANGE(""https://docs.google.com/spreadsheets/d/1rG8iy-kKSFDxhVaU60GJ2bpXc8tZqI1bT8U0Ac0DWTU/edit?usp=sharing"",""REGISTRATION!C:V""),20,FALSE),"""")"),"")</f>
        <v/>
      </c>
      <c r="H136" s="21" t="str">
        <f>IFERROR(__xludf.DUMMYFUNCTION("IFNA(VLOOKUP(C136,IMPORTRANGE(""https://docs.google.com/spreadsheets/d/1rG8iy-kKSFDxhVaU60GJ2bpXc8tZqI1bT8U0Ac0DWTU/edit?usp=sharing"",""REGISTRATION!C:V""),19,FALSE),"""")"),"")</f>
        <v/>
      </c>
    </row>
    <row r="137">
      <c r="C137" s="20"/>
      <c r="D137" s="21" t="str">
        <f>IFERROR(__xludf.DUMMYFUNCTION("IFNA(
IF(
VLOOKUP(C137,IMPORTRANGE(""https://docs.google.com/spreadsheets/d/1rG8iy-kKSFDxhVaU60GJ2bpXc8tZqI1bT8U0Ac0DWTU/edit?usp=sharing"",""REGISTRATION!C:X""),22,FALSE)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37" s="22" t="str">
        <f>IFERROR(__xludf.DUMMYFUNCTION("IFNA(
IF(
VLOOKUP(C137,IMPORTRANGE(""https://docs.google.com/spreadsheets/d/1rG8iy-kKSFDxhVaU60GJ2bpXc8tZqI1bT8U0Ac0DWTU/edit?usp=sharing"",""REGISTRATION!C:AB""),26,FALSE)
=""No"",
""No Candy"",
""""
),
""""
)"),"")</f>
        <v/>
      </c>
      <c r="F137" s="21" t="str">
        <f>IFERROR(__xludf.DUMMYFUNCTION("IFNA(VLOOKUP(C137,IMPORTRANGE(""https://docs.google.com/spreadsheets/d/1rG8iy-kKSFDxhVaU60GJ2bpXc8tZqI1bT8U0Ac0DWTU/edit?usp=sharing"",""REGISTRATION!C:V""),18,FALSE),"""")"),"")</f>
        <v/>
      </c>
      <c r="G137" s="21" t="str">
        <f>IFERROR(__xludf.DUMMYFUNCTION("IFNA(VLOOKUP(C137,IMPORTRANGE(""https://docs.google.com/spreadsheets/d/1rG8iy-kKSFDxhVaU60GJ2bpXc8tZqI1bT8U0Ac0DWTU/edit?usp=sharing"",""REGISTRATION!C:V""),20,FALSE),"""")"),"")</f>
        <v/>
      </c>
      <c r="H137" s="21" t="str">
        <f>IFERROR(__xludf.DUMMYFUNCTION("IFNA(VLOOKUP(C137,IMPORTRANGE(""https://docs.google.com/spreadsheets/d/1rG8iy-kKSFDxhVaU60GJ2bpXc8tZqI1bT8U0Ac0DWTU/edit?usp=sharing"",""REGISTRATION!C:V""),19,FALSE),"""")"),"")</f>
        <v/>
      </c>
    </row>
    <row r="138">
      <c r="C138" s="20"/>
      <c r="D138" s="21" t="str">
        <f>IFERROR(__xludf.DUMMYFUNCTION("IFNA(
IF(
VLOOKUP(C138,IMPORTRANGE(""https://docs.google.com/spreadsheets/d/1rG8iy-kKSFDxhVaU60GJ2bpXc8tZqI1bT8U0Ac0DWTU/edit?usp=sharing"",""REGISTRATION!C:X""),22,FALSE)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38" s="22" t="str">
        <f>IFERROR(__xludf.DUMMYFUNCTION("IFNA(
IF(
VLOOKUP(C138,IMPORTRANGE(""https://docs.google.com/spreadsheets/d/1rG8iy-kKSFDxhVaU60GJ2bpXc8tZqI1bT8U0Ac0DWTU/edit?usp=sharing"",""REGISTRATION!C:AB""),26,FALSE)
=""No"",
""No Candy"",
""""
),
""""
)"),"")</f>
        <v/>
      </c>
      <c r="F138" s="21" t="str">
        <f>IFERROR(__xludf.DUMMYFUNCTION("IFNA(VLOOKUP(C138,IMPORTRANGE(""https://docs.google.com/spreadsheets/d/1rG8iy-kKSFDxhVaU60GJ2bpXc8tZqI1bT8U0Ac0DWTU/edit?usp=sharing"",""REGISTRATION!C:V""),18,FALSE),"""")"),"")</f>
        <v/>
      </c>
      <c r="G138" s="21" t="str">
        <f>IFERROR(__xludf.DUMMYFUNCTION("IFNA(VLOOKUP(C138,IMPORTRANGE(""https://docs.google.com/spreadsheets/d/1rG8iy-kKSFDxhVaU60GJ2bpXc8tZqI1bT8U0Ac0DWTU/edit?usp=sharing"",""REGISTRATION!C:V""),20,FALSE),"""")"),"")</f>
        <v/>
      </c>
      <c r="H138" s="21" t="str">
        <f>IFERROR(__xludf.DUMMYFUNCTION("IFNA(VLOOKUP(C138,IMPORTRANGE(""https://docs.google.com/spreadsheets/d/1rG8iy-kKSFDxhVaU60GJ2bpXc8tZqI1bT8U0Ac0DWTU/edit?usp=sharing"",""REGISTRATION!C:V""),19,FALSE),"""")"),"")</f>
        <v/>
      </c>
    </row>
    <row r="139">
      <c r="C139" s="20"/>
      <c r="D139" s="21" t="str">
        <f>IFERROR(__xludf.DUMMYFUNCTION("IFNA(
IF(
VLOOKUP(C139,IMPORTRANGE(""https://docs.google.com/spreadsheets/d/1rG8iy-kKSFDxhVaU60GJ2bpXc8tZqI1bT8U0Ac0DWTU/edit?usp=sharing"",""REGISTRATION!C:X""),22,FALSE)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39" s="22" t="str">
        <f>IFERROR(__xludf.DUMMYFUNCTION("IFNA(
IF(
VLOOKUP(C139,IMPORTRANGE(""https://docs.google.com/spreadsheets/d/1rG8iy-kKSFDxhVaU60GJ2bpXc8tZqI1bT8U0Ac0DWTU/edit?usp=sharing"",""REGISTRATION!C:AB""),26,FALSE)
=""No"",
""No Candy"",
""""
),
""""
)"),"")</f>
        <v/>
      </c>
      <c r="F139" s="21" t="str">
        <f>IFERROR(__xludf.DUMMYFUNCTION("IFNA(VLOOKUP(C139,IMPORTRANGE(""https://docs.google.com/spreadsheets/d/1rG8iy-kKSFDxhVaU60GJ2bpXc8tZqI1bT8U0Ac0DWTU/edit?usp=sharing"",""REGISTRATION!C:V""),18,FALSE),"""")"),"")</f>
        <v/>
      </c>
      <c r="G139" s="21" t="str">
        <f>IFERROR(__xludf.DUMMYFUNCTION("IFNA(VLOOKUP(C139,IMPORTRANGE(""https://docs.google.com/spreadsheets/d/1rG8iy-kKSFDxhVaU60GJ2bpXc8tZqI1bT8U0Ac0DWTU/edit?usp=sharing"",""REGISTRATION!C:V""),20,FALSE),"""")"),"")</f>
        <v/>
      </c>
      <c r="H139" s="21" t="str">
        <f>IFERROR(__xludf.DUMMYFUNCTION("IFNA(VLOOKUP(C139,IMPORTRANGE(""https://docs.google.com/spreadsheets/d/1rG8iy-kKSFDxhVaU60GJ2bpXc8tZqI1bT8U0Ac0DWTU/edit?usp=sharing"",""REGISTRATION!C:V""),19,FALSE),"""")"),"")</f>
        <v/>
      </c>
    </row>
    <row r="140">
      <c r="C140" s="55"/>
      <c r="D140" s="21" t="str">
        <f>IFERROR(__xludf.DUMMYFUNCTION("IFNA(
IF(
VLOOKUP(C140,IMPORTRANGE(""https://docs.google.com/spreadsheets/d/1rG8iy-kKSFDxhVaU60GJ2bpXc8tZqI1bT8U0Ac0DWTU/edit?usp=sharing"",""REGISTRATION!C:X""),22,FALSE)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40" s="22" t="str">
        <f>IFERROR(__xludf.DUMMYFUNCTION("IFNA(
IF(
VLOOKUP(C140,IMPORTRANGE(""https://docs.google.com/spreadsheets/d/1rG8iy-kKSFDxhVaU60GJ2bpXc8tZqI1bT8U0Ac0DWTU/edit?usp=sharing"",""REGISTRATION!C:AB""),26,FALSE)
=""No"",
""No Candy"",
""""
),
""""
)"),"")</f>
        <v/>
      </c>
      <c r="F140" s="21" t="str">
        <f>IFERROR(__xludf.DUMMYFUNCTION("IFNA(VLOOKUP(C140,IMPORTRANGE(""https://docs.google.com/spreadsheets/d/1rG8iy-kKSFDxhVaU60GJ2bpXc8tZqI1bT8U0Ac0DWTU/edit?usp=sharing"",""REGISTRATION!C:V""),18,FALSE),"""")"),"")</f>
        <v/>
      </c>
      <c r="G140" s="21" t="str">
        <f>IFERROR(__xludf.DUMMYFUNCTION("IFNA(VLOOKUP(C140,IMPORTRANGE(""https://docs.google.com/spreadsheets/d/1rG8iy-kKSFDxhVaU60GJ2bpXc8tZqI1bT8U0Ac0DWTU/edit?usp=sharing"",""REGISTRATION!C:V""),20,FALSE),"""")"),"")</f>
        <v/>
      </c>
      <c r="H140" s="21" t="str">
        <f>IFERROR(__xludf.DUMMYFUNCTION("IFNA(VLOOKUP(C140,IMPORTRANGE(""https://docs.google.com/spreadsheets/d/1rG8iy-kKSFDxhVaU60GJ2bpXc8tZqI1bT8U0Ac0DWTU/edit?usp=sharing"",""REGISTRATION!C:V""),19,FALSE),"""")"),"")</f>
        <v/>
      </c>
    </row>
    <row r="141">
      <c r="C141" s="55"/>
      <c r="D141" s="21" t="str">
        <f>IFERROR(__xludf.DUMMYFUNCTION("IFNA(
IF(
VLOOKUP(C141,IMPORTRANGE(""https://docs.google.com/spreadsheets/d/1rG8iy-kKSFDxhVaU60GJ2bpXc8tZqI1bT8U0Ac0DWTU/edit?usp=sharing"",""REGISTRATION!C:X""),22,FALSE)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41" s="22" t="str">
        <f>IFERROR(__xludf.DUMMYFUNCTION("IFNA(
IF(
VLOOKUP(C141,IMPORTRANGE(""https://docs.google.com/spreadsheets/d/1rG8iy-kKSFDxhVaU60GJ2bpXc8tZqI1bT8U0Ac0DWTU/edit?usp=sharing"",""REGISTRATION!C:AB""),26,FALSE)
=""No"",
""No Candy"",
""""
),
""""
)"),"")</f>
        <v/>
      </c>
      <c r="F141" s="21" t="str">
        <f>IFERROR(__xludf.DUMMYFUNCTION("IFNA(VLOOKUP(C141,IMPORTRANGE(""https://docs.google.com/spreadsheets/d/1rG8iy-kKSFDxhVaU60GJ2bpXc8tZqI1bT8U0Ac0DWTU/edit?usp=sharing"",""REGISTRATION!C:V""),18,FALSE),"""")"),"")</f>
        <v/>
      </c>
      <c r="G141" s="21" t="str">
        <f>IFERROR(__xludf.DUMMYFUNCTION("IFNA(VLOOKUP(C141,IMPORTRANGE(""https://docs.google.com/spreadsheets/d/1rG8iy-kKSFDxhVaU60GJ2bpXc8tZqI1bT8U0Ac0DWTU/edit?usp=sharing"",""REGISTRATION!C:V""),20,FALSE),"""")"),"")</f>
        <v/>
      </c>
      <c r="H141" s="21" t="str">
        <f>IFERROR(__xludf.DUMMYFUNCTION("IFNA(VLOOKUP(C141,IMPORTRANGE(""https://docs.google.com/spreadsheets/d/1rG8iy-kKSFDxhVaU60GJ2bpXc8tZqI1bT8U0Ac0DWTU/edit?usp=sharing"",""REGISTRATION!C:V""),19,FALSE),"""")"),"")</f>
        <v/>
      </c>
    </row>
    <row r="142">
      <c r="C142" s="55"/>
      <c r="D142" s="21" t="str">
        <f>IFERROR(__xludf.DUMMYFUNCTION("IFNA(
IF(
VLOOKUP(C142,IMPORTRANGE(""https://docs.google.com/spreadsheets/d/1rG8iy-kKSFDxhVaU60GJ2bpXc8tZqI1bT8U0Ac0DWTU/edit?usp=sharing"",""REGISTRATION!C:X""),22,FALSE)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42" s="22" t="str">
        <f>IFERROR(__xludf.DUMMYFUNCTION("IFNA(
IF(
VLOOKUP(C142,IMPORTRANGE(""https://docs.google.com/spreadsheets/d/1rG8iy-kKSFDxhVaU60GJ2bpXc8tZqI1bT8U0Ac0DWTU/edit?usp=sharing"",""REGISTRATION!C:AB""),26,FALSE)
=""No"",
""No Candy"",
""""
),
""""
)"),"")</f>
        <v/>
      </c>
      <c r="F142" s="21" t="str">
        <f>IFERROR(__xludf.DUMMYFUNCTION("IFNA(VLOOKUP(C142,IMPORTRANGE(""https://docs.google.com/spreadsheets/d/1rG8iy-kKSFDxhVaU60GJ2bpXc8tZqI1bT8U0Ac0DWTU/edit?usp=sharing"",""REGISTRATION!C:V""),18,FALSE),"""")"),"")</f>
        <v/>
      </c>
      <c r="G142" s="21" t="str">
        <f>IFERROR(__xludf.DUMMYFUNCTION("IFNA(VLOOKUP(C142,IMPORTRANGE(""https://docs.google.com/spreadsheets/d/1rG8iy-kKSFDxhVaU60GJ2bpXc8tZqI1bT8U0Ac0DWTU/edit?usp=sharing"",""REGISTRATION!C:V""),20,FALSE),"""")"),"")</f>
        <v/>
      </c>
      <c r="H142" s="21" t="str">
        <f>IFERROR(__xludf.DUMMYFUNCTION("IFNA(VLOOKUP(C142,IMPORTRANGE(""https://docs.google.com/spreadsheets/d/1rG8iy-kKSFDxhVaU60GJ2bpXc8tZqI1bT8U0Ac0DWTU/edit?usp=sharing"",""REGISTRATION!C:V""),19,FALSE),"""")"),"")</f>
        <v/>
      </c>
    </row>
    <row r="143">
      <c r="C143" s="55"/>
      <c r="D143" s="21" t="str">
        <f>IFERROR(__xludf.DUMMYFUNCTION("IFNA(
IF(
VLOOKUP(C143,IMPORTRANGE(""https://docs.google.com/spreadsheets/d/1rG8iy-kKSFDxhVaU60GJ2bpXc8tZqI1bT8U0Ac0DWTU/edit?usp=sharing"",""REGISTRATION!C:X""),22,FALSE)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43" s="22" t="str">
        <f>IFERROR(__xludf.DUMMYFUNCTION("IFNA(
IF(
VLOOKUP(C143,IMPORTRANGE(""https://docs.google.com/spreadsheets/d/1rG8iy-kKSFDxhVaU60GJ2bpXc8tZqI1bT8U0Ac0DWTU/edit?usp=sharing"",""REGISTRATION!C:AB""),26,FALSE)
=""No"",
""No Candy"",
""""
),
""""
)"),"")</f>
        <v/>
      </c>
      <c r="F143" s="21" t="str">
        <f>IFERROR(__xludf.DUMMYFUNCTION("IFNA(VLOOKUP(C143,IMPORTRANGE(""https://docs.google.com/spreadsheets/d/1rG8iy-kKSFDxhVaU60GJ2bpXc8tZqI1bT8U0Ac0DWTU/edit?usp=sharing"",""REGISTRATION!C:V""),18,FALSE),"""")"),"")</f>
        <v/>
      </c>
      <c r="G143" s="21" t="str">
        <f>IFERROR(__xludf.DUMMYFUNCTION("IFNA(VLOOKUP(C143,IMPORTRANGE(""https://docs.google.com/spreadsheets/d/1rG8iy-kKSFDxhVaU60GJ2bpXc8tZqI1bT8U0Ac0DWTU/edit?usp=sharing"",""REGISTRATION!C:V""),20,FALSE),"""")"),"")</f>
        <v/>
      </c>
      <c r="H143" s="21" t="str">
        <f>IFERROR(__xludf.DUMMYFUNCTION("IFNA(VLOOKUP(C143,IMPORTRANGE(""https://docs.google.com/spreadsheets/d/1rG8iy-kKSFDxhVaU60GJ2bpXc8tZqI1bT8U0Ac0DWTU/edit?usp=sharing"",""REGISTRATION!C:V""),19,FALSE),"""")"),"")</f>
        <v/>
      </c>
    </row>
    <row r="144">
      <c r="A144" s="30" t="s">
        <v>146</v>
      </c>
      <c r="B144" s="30" t="s">
        <v>147</v>
      </c>
      <c r="C144" s="24" t="s">
        <v>148</v>
      </c>
      <c r="D144" s="25" t="str">
        <f>IFERROR(__xludf.DUMMYFUNCTION("IFNA(
IF(
VLOOKUP(C144,IMPORTRANGE(""https://docs.google.com/spreadsheets/d/1rG8iy-kKSFDxhVaU60GJ2bpXc8tZqI1bT8U0Ac0DWTU/edit?usp=sharing"",""REGISTRATION!C:X""),22,FALSE)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44" s="26" t="str">
        <f>IFERROR(__xludf.DUMMYFUNCTION("IFNA(
IF(
VLOOKUP(C144,IMPORTRANGE(""https://docs.google.com/spreadsheets/d/1rG8iy-kKSFDxhVaU60GJ2bpXc8tZqI1bT8U0Ac0DWTU/edit?usp=sharing"",""REGISTRATION!C:AB""),26,FALSE)
=""No"",
""No Candy"",
""""
),
""""
)"),"")</f>
        <v/>
      </c>
      <c r="F144" s="25" t="str">
        <f>IFERROR(__xludf.DUMMYFUNCTION("IFNA(VLOOKUP(C144,IMPORTRANGE(""https://docs.google.com/spreadsheets/d/1rG8iy-kKSFDxhVaU60GJ2bpXc8tZqI1bT8U0Ac0DWTU/edit?usp=sharing"",""REGISTRATION!C:V""),18,FALSE),"""")"),"None")</f>
        <v>None</v>
      </c>
      <c r="G144" s="25" t="str">
        <f>IFERROR(__xludf.DUMMYFUNCTION("IFNA(VLOOKUP(C144,IMPORTRANGE(""https://docs.google.com/spreadsheets/d/1rG8iy-kKSFDxhVaU60GJ2bpXc8tZqI1bT8U0Ac0DWTU/edit?usp=sharing"",""REGISTRATION!C:V""),20,FALSE),"""")"),"")</f>
        <v/>
      </c>
      <c r="H144" s="25" t="str">
        <f>IFERROR(__xludf.DUMMYFUNCTION("IFNA(VLOOKUP(C144,IMPORTRANGE(""https://docs.google.com/spreadsheets/d/1rG8iy-kKSFDxhVaU60GJ2bpXc8tZqI1bT8U0Ac0DWTU/edit?usp=sharing"",""REGISTRATION!C:V""),19,FALSE),"""")"),"None")</f>
        <v>None</v>
      </c>
    </row>
    <row r="145">
      <c r="C145" s="31" t="s">
        <v>149</v>
      </c>
      <c r="D145" s="32" t="str">
        <f>IFERROR(__xludf.DUMMYFUNCTION("IFNA(
IF(
VLOOKUP(C145,IMPORTRANGE(""https://docs.google.com/spreadsheets/d/1rG8iy-kKSFDxhVaU60GJ2bpXc8tZqI1bT8U0Ac0DWTU/edit?usp=sharing"",""REGISTRATION!C:X""),22,FALSE)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45" s="33" t="str">
        <f>IFERROR(__xludf.DUMMYFUNCTION("IFNA(
IF(
VLOOKUP(C145,IMPORTRANGE(""https://docs.google.com/spreadsheets/d/1rG8iy-kKSFDxhVaU60GJ2bpXc8tZqI1bT8U0Ac0DWTU/edit?usp=sharing"",""REGISTRATION!C:AB""),26,FALSE)
=""No"",
""No Candy"",
""""
),
""""
)"),"")</f>
        <v/>
      </c>
      <c r="F145" s="32" t="str">
        <f>IFERROR(__xludf.DUMMYFUNCTION("IFNA(VLOOKUP(C145,IMPORTRANGE(""https://docs.google.com/spreadsheets/d/1rG8iy-kKSFDxhVaU60GJ2bpXc8tZqI1bT8U0Ac0DWTU/edit?usp=sharing"",""REGISTRATION!C:V""),18,FALSE),"""")"),"None")</f>
        <v>None</v>
      </c>
      <c r="G145" s="32" t="str">
        <f>IFERROR(__xludf.DUMMYFUNCTION("IFNA(VLOOKUP(C145,IMPORTRANGE(""https://docs.google.com/spreadsheets/d/1rG8iy-kKSFDxhVaU60GJ2bpXc8tZqI1bT8U0Ac0DWTU/edit?usp=sharing"",""REGISTRATION!C:V""),20,FALSE),"""")"),"")</f>
        <v/>
      </c>
      <c r="H145" s="32" t="str">
        <f>IFERROR(__xludf.DUMMYFUNCTION("IFNA(VLOOKUP(C145,IMPORTRANGE(""https://docs.google.com/spreadsheets/d/1rG8iy-kKSFDxhVaU60GJ2bpXc8tZqI1bT8U0Ac0DWTU/edit?usp=sharing"",""REGISTRATION!C:V""),19,FALSE),"""")"),"None")</f>
        <v>None</v>
      </c>
    </row>
    <row r="146">
      <c r="C146" s="31" t="s">
        <v>150</v>
      </c>
      <c r="D146" s="32" t="str">
        <f>IFERROR(__xludf.DUMMYFUNCTION("IFNA(
IF(
VLOOKUP(C146,IMPORTRANGE(""https://docs.google.com/spreadsheets/d/1rG8iy-kKSFDxhVaU60GJ2bpXc8tZqI1bT8U0Ac0DWTU/edit?usp=sharing"",""REGISTRATION!C:X""),22,FALSE)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46" s="33" t="str">
        <f>IFERROR(__xludf.DUMMYFUNCTION("IFNA(
IF(
VLOOKUP(C146,IMPORTRANGE(""https://docs.google.com/spreadsheets/d/1rG8iy-kKSFDxhVaU60GJ2bpXc8tZqI1bT8U0Ac0DWTU/edit?usp=sharing"",""REGISTRATION!C:AB""),26,FALSE)
=""No"",
""No Candy"",
""""
),
""""
)"),"")</f>
        <v/>
      </c>
      <c r="F146" s="32" t="str">
        <f>IFERROR(__xludf.DUMMYFUNCTION("IFNA(VLOOKUP(C146,IMPORTRANGE(""https://docs.google.com/spreadsheets/d/1rG8iy-kKSFDxhVaU60GJ2bpXc8tZqI1bT8U0Ac0DWTU/edit?usp=sharing"",""REGISTRATION!C:V""),18,FALSE),"""")"),"Halal")</f>
        <v>Halal</v>
      </c>
      <c r="G146" s="32" t="str">
        <f>IFERROR(__xludf.DUMMYFUNCTION("IFNA(VLOOKUP(C146,IMPORTRANGE(""https://docs.google.com/spreadsheets/d/1rG8iy-kKSFDxhVaU60GJ2bpXc8tZqI1bT8U0Ac0DWTU/edit?usp=sharing"",""REGISTRATION!C:V""),20,FALSE),"""")"),"")</f>
        <v/>
      </c>
      <c r="H146" s="32" t="str">
        <f>IFERROR(__xludf.DUMMYFUNCTION("IFNA(VLOOKUP(C146,IMPORTRANGE(""https://docs.google.com/spreadsheets/d/1rG8iy-kKSFDxhVaU60GJ2bpXc8tZqI1bT8U0Ac0DWTU/edit?usp=sharing"",""REGISTRATION!C:V""),19,FALSE),"""")"),"None")</f>
        <v>None</v>
      </c>
    </row>
    <row r="147">
      <c r="C147" s="24" t="s">
        <v>151</v>
      </c>
      <c r="D147" s="25" t="str">
        <f>IFERROR(__xludf.DUMMYFUNCTION("IFNA(
IF(
VLOOKUP(C147,IMPORTRANGE(""https://docs.google.com/spreadsheets/d/1rG8iy-kKSFDxhVaU60GJ2bpXc8tZqI1bT8U0Ac0DWTU/edit?usp=sharing"",""REGISTRATION!C:X""),22,FALSE)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47" s="26" t="str">
        <f>IFERROR(__xludf.DUMMYFUNCTION("IFNA(
IF(
VLOOKUP(C147,IMPORTRANGE(""https://docs.google.com/spreadsheets/d/1rG8iy-kKSFDxhVaU60GJ2bpXc8tZqI1bT8U0Ac0DWTU/edit?usp=sharing"",""REGISTRATION!C:AB""),26,FALSE)
=""No"",
""No Candy"",
""""
),
""""
)"),"")</f>
        <v/>
      </c>
      <c r="F147" s="25" t="str">
        <f>IFERROR(__xludf.DUMMYFUNCTION("IFNA(VLOOKUP(C147,IMPORTRANGE(""https://docs.google.com/spreadsheets/d/1rG8iy-kKSFDxhVaU60GJ2bpXc8tZqI1bT8U0Ac0DWTU/edit?usp=sharing"",""REGISTRATION!C:V""),18,FALSE),"""")"),"None")</f>
        <v>None</v>
      </c>
      <c r="G147" s="25" t="str">
        <f>IFERROR(__xludf.DUMMYFUNCTION("IFNA(VLOOKUP(C147,IMPORTRANGE(""https://docs.google.com/spreadsheets/d/1rG8iy-kKSFDxhVaU60GJ2bpXc8tZqI1bT8U0Ac0DWTU/edit?usp=sharing"",""REGISTRATION!C:V""),20,FALSE),"""")"),"")</f>
        <v/>
      </c>
      <c r="H147" s="25" t="str">
        <f>IFERROR(__xludf.DUMMYFUNCTION("IFNA(VLOOKUP(C147,IMPORTRANGE(""https://docs.google.com/spreadsheets/d/1rG8iy-kKSFDxhVaU60GJ2bpXc8tZqI1bT8U0Ac0DWTU/edit?usp=sharing"",""REGISTRATION!C:V""),19,FALSE),"""")"),"None")</f>
        <v>None</v>
      </c>
    </row>
    <row r="148">
      <c r="C148" s="31" t="s">
        <v>152</v>
      </c>
      <c r="D148" s="49" t="str">
        <f>IFERROR(__xludf.DUMMYFUNCTION("IFNA(
IF(
VLOOKUP(C148,IMPORTRANGE(""https://docs.google.com/spreadsheets/d/1rG8iy-kKSFDxhVaU60GJ2bpXc8tZqI1bT8U0Ac0DWTU/edit?usp=sharing"",""REGISTRATION!C:X""),22,FALSE)
=""I qualify for Free and Reduced Lunch and WOULD like lunch to be provided for my "&amp;"child."",
""Yes"",
""""
),
""""
)"),"Yes")</f>
        <v>Yes</v>
      </c>
      <c r="E148" s="33" t="str">
        <f>IFERROR(__xludf.DUMMYFUNCTION("IFNA(
IF(
VLOOKUP(C148,IMPORTRANGE(""https://docs.google.com/spreadsheets/d/1rG8iy-kKSFDxhVaU60GJ2bpXc8tZqI1bT8U0Ac0DWTU/edit?usp=sharing"",""REGISTRATION!C:AB""),26,FALSE)
=""No"",
""No Candy"",
""""
),
""""
)"),"")</f>
        <v/>
      </c>
      <c r="F148" s="32" t="str">
        <f>IFERROR(__xludf.DUMMYFUNCTION("IFNA(VLOOKUP(C148,IMPORTRANGE(""https://docs.google.com/spreadsheets/d/1rG8iy-kKSFDxhVaU60GJ2bpXc8tZqI1bT8U0Ac0DWTU/edit?usp=sharing"",""REGISTRATION!C:V""),18,FALSE),"""")"),"None")</f>
        <v>None</v>
      </c>
      <c r="G148" s="32" t="str">
        <f>IFERROR(__xludf.DUMMYFUNCTION("IFNA(VLOOKUP(C148,IMPORTRANGE(""https://docs.google.com/spreadsheets/d/1rG8iy-kKSFDxhVaU60GJ2bpXc8tZqI1bT8U0Ac0DWTU/edit?usp=sharing"",""REGISTRATION!C:V""),20,FALSE),"""")"),"")</f>
        <v/>
      </c>
      <c r="H148" s="32" t="str">
        <f>IFERROR(__xludf.DUMMYFUNCTION("IFNA(VLOOKUP(C148,IMPORTRANGE(""https://docs.google.com/spreadsheets/d/1rG8iy-kKSFDxhVaU60GJ2bpXc8tZqI1bT8U0Ac0DWTU/edit?usp=sharing"",""REGISTRATION!C:V""),19,FALSE),"""")"),"None")</f>
        <v>None</v>
      </c>
    </row>
    <row r="149">
      <c r="C149" s="31" t="s">
        <v>153</v>
      </c>
      <c r="D149" s="32" t="str">
        <f>IFERROR(__xludf.DUMMYFUNCTION("IFNA(
IF(
VLOOKUP(C149,IMPORTRANGE(""https://docs.google.com/spreadsheets/d/1rG8iy-kKSFDxhVaU60GJ2bpXc8tZqI1bT8U0Ac0DWTU/edit?usp=sharing"",""REGISTRATION!C:X""),22,FALSE)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49" s="33" t="str">
        <f>IFERROR(__xludf.DUMMYFUNCTION("IFNA(
IF(
VLOOKUP(C149,IMPORTRANGE(""https://docs.google.com/spreadsheets/d/1rG8iy-kKSFDxhVaU60GJ2bpXc8tZqI1bT8U0Ac0DWTU/edit?usp=sharing"",""REGISTRATION!C:AB""),26,FALSE)
=""No"",
""No Candy"",
""""
),
""""
)"),"")</f>
        <v/>
      </c>
      <c r="F149" s="32" t="str">
        <f>IFERROR(__xludf.DUMMYFUNCTION("IFNA(VLOOKUP(C149,IMPORTRANGE(""https://docs.google.com/spreadsheets/d/1rG8iy-kKSFDxhVaU60GJ2bpXc8tZqI1bT8U0Ac0DWTU/edit?usp=sharing"",""REGISTRATION!C:V""),18,FALSE),"""")"),"None")</f>
        <v>None</v>
      </c>
      <c r="G149" s="32" t="str">
        <f>IFERROR(__xludf.DUMMYFUNCTION("IFNA(VLOOKUP(C149,IMPORTRANGE(""https://docs.google.com/spreadsheets/d/1rG8iy-kKSFDxhVaU60GJ2bpXc8tZqI1bT8U0Ac0DWTU/edit?usp=sharing"",""REGISTRATION!C:V""),20,FALSE),"""")"),"")</f>
        <v/>
      </c>
      <c r="H149" s="32" t="str">
        <f>IFERROR(__xludf.DUMMYFUNCTION("IFNA(VLOOKUP(C149,IMPORTRANGE(""https://docs.google.com/spreadsheets/d/1rG8iy-kKSFDxhVaU60GJ2bpXc8tZqI1bT8U0Ac0DWTU/edit?usp=sharing"",""REGISTRATION!C:V""),19,FALSE),"""")"),"None")</f>
        <v>None</v>
      </c>
    </row>
    <row r="150">
      <c r="C150" s="24" t="s">
        <v>154</v>
      </c>
      <c r="D150" s="25" t="str">
        <f>IFERROR(__xludf.DUMMYFUNCTION("IFNA(
IF(
VLOOKUP(C150,IMPORTRANGE(""https://docs.google.com/spreadsheets/d/1rG8iy-kKSFDxhVaU60GJ2bpXc8tZqI1bT8U0Ac0DWTU/edit?usp=sharing"",""REGISTRATION!C:X""),22,FALSE)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50" s="47" t="str">
        <f>IFERROR(__xludf.DUMMYFUNCTION("IFNA(
IF(
VLOOKUP(C150,IMPORTRANGE(""https://docs.google.com/spreadsheets/d/1rG8iy-kKSFDxhVaU60GJ2bpXc8tZqI1bT8U0Ac0DWTU/edit?usp=sharing"",""REGISTRATION!C:AB""),26,FALSE)
=""No"",
""No Candy"",
""""
),
""""
)"),"No Candy")</f>
        <v>No Candy</v>
      </c>
      <c r="F150" s="17" t="str">
        <f>IFERROR(__xludf.DUMMYFUNCTION("IFNA(VLOOKUP(C150,IMPORTRANGE(""https://docs.google.com/spreadsheets/d/1rG8iy-kKSFDxhVaU60GJ2bpXc8tZqI1bT8U0Ac0DWTU/edit?usp=sharing"",""REGISTRATION!C:V""),18,FALSE),"""")"),"None")</f>
        <v>None</v>
      </c>
      <c r="G150" s="17" t="str">
        <f>IFERROR(__xludf.DUMMYFUNCTION("IFNA(VLOOKUP(C150,IMPORTRANGE(""https://docs.google.com/spreadsheets/d/1rG8iy-kKSFDxhVaU60GJ2bpXc8tZqI1bT8U0Ac0DWTU/edit?usp=sharing"",""REGISTRATION!C:V""),20,FALSE),"""")"),"She loves coding")</f>
        <v>She loves coding</v>
      </c>
      <c r="H150" s="17" t="str">
        <f>IFERROR(__xludf.DUMMYFUNCTION("IFNA(VLOOKUP(C150,IMPORTRANGE(""https://docs.google.com/spreadsheets/d/1rG8iy-kKSFDxhVaU60GJ2bpXc8tZqI1bT8U0Ac0DWTU/edit?usp=sharing"",""REGISTRATION!C:V""),19,FALSE),"""")"),"None")</f>
        <v>None</v>
      </c>
    </row>
    <row r="151">
      <c r="C151" s="31" t="s">
        <v>155</v>
      </c>
      <c r="D151" s="32" t="str">
        <f>IFERROR(__xludf.DUMMYFUNCTION("IFNA(
IF(
VLOOKUP(C151,IMPORTRANGE(""https://docs.google.com/spreadsheets/d/1rG8iy-kKSFDxhVaU60GJ2bpXc8tZqI1bT8U0Ac0DWTU/edit?usp=sharing"",""REGISTRATION!C:X""),22,FALSE)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51" s="33" t="str">
        <f>IFERROR(__xludf.DUMMYFUNCTION("IFNA(
IF(
VLOOKUP(C151,IMPORTRANGE(""https://docs.google.com/spreadsheets/d/1rG8iy-kKSFDxhVaU60GJ2bpXc8tZqI1bT8U0Ac0DWTU/edit?usp=sharing"",""REGISTRATION!C:AB""),26,FALSE)
=""No"",
""No Candy"",
""""
),
""""
)"),"")</f>
        <v/>
      </c>
      <c r="F151" s="32" t="str">
        <f>IFERROR(__xludf.DUMMYFUNCTION("IFNA(VLOOKUP(C151,IMPORTRANGE(""https://docs.google.com/spreadsheets/d/1rG8iy-kKSFDxhVaU60GJ2bpXc8tZqI1bT8U0Ac0DWTU/edit?usp=sharing"",""REGISTRATION!C:V""),18,FALSE),"""")"),"None")</f>
        <v>None</v>
      </c>
      <c r="G151" s="32" t="str">
        <f>IFERROR(__xludf.DUMMYFUNCTION("IFNA(VLOOKUP(C151,IMPORTRANGE(""https://docs.google.com/spreadsheets/d/1rG8iy-kKSFDxhVaU60GJ2bpXc8tZqI1bT8U0Ac0DWTU/edit?usp=sharing"",""REGISTRATION!C:V""),20,FALSE),"""")"),"")</f>
        <v/>
      </c>
      <c r="H151" s="32" t="str">
        <f>IFERROR(__xludf.DUMMYFUNCTION("IFNA(VLOOKUP(C151,IMPORTRANGE(""https://docs.google.com/spreadsheets/d/1rG8iy-kKSFDxhVaU60GJ2bpXc8tZqI1bT8U0Ac0DWTU/edit?usp=sharing"",""REGISTRATION!C:V""),19,FALSE),"""")"),"None")</f>
        <v>None</v>
      </c>
    </row>
    <row r="152">
      <c r="C152" s="31" t="s">
        <v>156</v>
      </c>
      <c r="D152" s="49" t="str">
        <f>IFERROR(__xludf.DUMMYFUNCTION("IFNA(
IF(
VLOOKUP(C152,IMPORTRANGE(""https://docs.google.com/spreadsheets/d/1rG8iy-kKSFDxhVaU60GJ2bpXc8tZqI1bT8U0Ac0DWTU/edit?usp=sharing"",""REGISTRATION!C:X""),22,FALSE)
=""I qualify for Free and Reduced Lunch and WOULD like lunch to be provided for my "&amp;"child."",
""Yes"",
""""
),
""""
)"),"Yes")</f>
        <v>Yes</v>
      </c>
      <c r="E152" s="33" t="str">
        <f>IFERROR(__xludf.DUMMYFUNCTION("IFNA(
IF(
VLOOKUP(C152,IMPORTRANGE(""https://docs.google.com/spreadsheets/d/1rG8iy-kKSFDxhVaU60GJ2bpXc8tZqI1bT8U0Ac0DWTU/edit?usp=sharing"",""REGISTRATION!C:AB""),26,FALSE)
=""No"",
""No Candy"",
""""
),
""""
)"),"")</f>
        <v/>
      </c>
      <c r="F152" s="32" t="str">
        <f>IFERROR(__xludf.DUMMYFUNCTION("IFNA(VLOOKUP(C152,IMPORTRANGE(""https://docs.google.com/spreadsheets/d/1rG8iy-kKSFDxhVaU60GJ2bpXc8tZqI1bT8U0Ac0DWTU/edit?usp=sharing"",""REGISTRATION!C:V""),18,FALSE),"""")"),"None")</f>
        <v>None</v>
      </c>
      <c r="G152" s="32" t="str">
        <f>IFERROR(__xludf.DUMMYFUNCTION("IFNA(VLOOKUP(C152,IMPORTRANGE(""https://docs.google.com/spreadsheets/d/1rG8iy-kKSFDxhVaU60GJ2bpXc8tZqI1bT8U0Ac0DWTU/edit?usp=sharing"",""REGISTRATION!C:V""),20,FALSE),"""")"),"")</f>
        <v/>
      </c>
      <c r="H152" s="32" t="str">
        <f>IFERROR(__xludf.DUMMYFUNCTION("IFNA(VLOOKUP(C152,IMPORTRANGE(""https://docs.google.com/spreadsheets/d/1rG8iy-kKSFDxhVaU60GJ2bpXc8tZqI1bT8U0Ac0DWTU/edit?usp=sharing"",""REGISTRATION!C:V""),19,FALSE),"""")"),"None")</f>
        <v>None</v>
      </c>
    </row>
    <row r="153">
      <c r="C153" s="16" t="s">
        <v>157</v>
      </c>
      <c r="D153" s="17" t="str">
        <f>IFERROR(__xludf.DUMMYFUNCTION("IFNA(
IF(
VLOOKUP(C153,IMPORTRANGE(""https://docs.google.com/spreadsheets/d/1rG8iy-kKSFDxhVaU60GJ2bpXc8tZqI1bT8U0Ac0DWTU/edit?usp=sharing"",""REGISTRATION!C:X""),22,FALSE)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53" s="18" t="str">
        <f>IFERROR(__xludf.DUMMYFUNCTION("IFNA(
IF(
VLOOKUP(C153,IMPORTRANGE(""https://docs.google.com/spreadsheets/d/1rG8iy-kKSFDxhVaU60GJ2bpXc8tZqI1bT8U0Ac0DWTU/edit?usp=sharing"",""REGISTRATION!C:AB""),26,FALSE)
=""No"",
""No Candy"",
""""
),
""""
)"),"")</f>
        <v/>
      </c>
      <c r="F153" s="19" t="str">
        <f>IFERROR(__xludf.DUMMYFUNCTION("IFNA(VLOOKUP(C153,IMPORTRANGE(""https://docs.google.com/spreadsheets/d/1rG8iy-kKSFDxhVaU60GJ2bpXc8tZqI1bT8U0Ac0DWTU/edit?usp=sharing"",""REGISTRATION!C:V""),18,FALSE),"""")"),"Vegetarian")</f>
        <v>Vegetarian</v>
      </c>
      <c r="G153" s="17" t="str">
        <f>IFERROR(__xludf.DUMMYFUNCTION("IFNA(VLOOKUP(C153,IMPORTRANGE(""https://docs.google.com/spreadsheets/d/1rG8iy-kKSFDxhVaU60GJ2bpXc8tZqI1bT8U0Ac0DWTU/edit?usp=sharing"",""REGISTRATION!C:V""),20,FALSE),"""")"),"")</f>
        <v/>
      </c>
      <c r="H153" s="17" t="str">
        <f>IFERROR(__xludf.DUMMYFUNCTION("IFNA(VLOOKUP(C153,IMPORTRANGE(""https://docs.google.com/spreadsheets/d/1rG8iy-kKSFDxhVaU60GJ2bpXc8tZqI1bT8U0Ac0DWTU/edit?usp=sharing"",""REGISTRATION!C:V""),19,FALSE),"""")"),"None")</f>
        <v>None</v>
      </c>
    </row>
    <row r="154">
      <c r="C154" s="31" t="s">
        <v>158</v>
      </c>
      <c r="D154" s="32" t="str">
        <f>IFERROR(__xludf.DUMMYFUNCTION("IFNA(
IF(
VLOOKUP(C154,IMPORTRANGE(""https://docs.google.com/spreadsheets/d/1rG8iy-kKSFDxhVaU60GJ2bpXc8tZqI1bT8U0Ac0DWTU/edit?usp=sharing"",""REGISTRATION!C:X""),22,FALSE)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54" s="33" t="str">
        <f>IFERROR(__xludf.DUMMYFUNCTION("IFNA(
IF(
VLOOKUP(C154,IMPORTRANGE(""https://docs.google.com/spreadsheets/d/1rG8iy-kKSFDxhVaU60GJ2bpXc8tZqI1bT8U0Ac0DWTU/edit?usp=sharing"",""REGISTRATION!C:AB""),26,FALSE)
=""No"",
""No Candy"",
""""
),
""""
)"),"")</f>
        <v/>
      </c>
      <c r="F154" s="32" t="str">
        <f>IFERROR(__xludf.DUMMYFUNCTION("IFNA(VLOOKUP(C154,IMPORTRANGE(""https://docs.google.com/spreadsheets/d/1rG8iy-kKSFDxhVaU60GJ2bpXc8tZqI1bT8U0Ac0DWTU/edit?usp=sharing"",""REGISTRATION!C:V""),18,FALSE),"""")"),"None")</f>
        <v>None</v>
      </c>
      <c r="G154" s="32" t="str">
        <f>IFERROR(__xludf.DUMMYFUNCTION("IFNA(VLOOKUP(C154,IMPORTRANGE(""https://docs.google.com/spreadsheets/d/1rG8iy-kKSFDxhVaU60GJ2bpXc8tZqI1bT8U0Ac0DWTU/edit?usp=sharing"",""REGISTRATION!C:V""),20,FALSE),"""")"),"")</f>
        <v/>
      </c>
      <c r="H154" s="32" t="str">
        <f>IFERROR(__xludf.DUMMYFUNCTION("IFNA(VLOOKUP(C154,IMPORTRANGE(""https://docs.google.com/spreadsheets/d/1rG8iy-kKSFDxhVaU60GJ2bpXc8tZqI1bT8U0Ac0DWTU/edit?usp=sharing"",""REGISTRATION!C:V""),19,FALSE),"""")"),"None")</f>
        <v>None</v>
      </c>
    </row>
    <row r="155">
      <c r="C155" s="16" t="s">
        <v>159</v>
      </c>
      <c r="D155" s="17" t="str">
        <f>IFERROR(__xludf.DUMMYFUNCTION("IFNA(
IF(
VLOOKUP(C155,IMPORTRANGE(""https://docs.google.com/spreadsheets/d/1rG8iy-kKSFDxhVaU60GJ2bpXc8tZqI1bT8U0Ac0DWTU/edit?usp=sharing"",""REGISTRATION!C:X""),22,FALSE)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55" s="18" t="str">
        <f>IFERROR(__xludf.DUMMYFUNCTION("IFNA(
IF(
VLOOKUP(C155,IMPORTRANGE(""https://docs.google.com/spreadsheets/d/1rG8iy-kKSFDxhVaU60GJ2bpXc8tZqI1bT8U0Ac0DWTU/edit?usp=sharing"",""REGISTRATION!C:AB""),26,FALSE)
=""No"",
""No Candy"",
""""
),
""""
)"),"")</f>
        <v/>
      </c>
      <c r="F155" s="19" t="str">
        <f>IFERROR(__xludf.DUMMYFUNCTION("IFNA(VLOOKUP(C155,IMPORTRANGE(""https://docs.google.com/spreadsheets/d/1rG8iy-kKSFDxhVaU60GJ2bpXc8tZqI1bT8U0Ac0DWTU/edit?usp=sharing"",""REGISTRATION!C:V""),18,FALSE),"""")"),"Halal")</f>
        <v>Halal</v>
      </c>
      <c r="G155" s="17" t="str">
        <f>IFERROR(__xludf.DUMMYFUNCTION("IFNA(VLOOKUP(C155,IMPORTRANGE(""https://docs.google.com/spreadsheets/d/1rG8iy-kKSFDxhVaU60GJ2bpXc8tZqI1bT8U0Ac0DWTU/edit?usp=sharing"",""REGISTRATION!C:V""),20,FALSE),"""")"),"")</f>
        <v/>
      </c>
      <c r="H155" s="19" t="str">
        <f>IFERROR(__xludf.DUMMYFUNCTION("IFNA(VLOOKUP(C155,IMPORTRANGE(""https://docs.google.com/spreadsheets/d/1rG8iy-kKSFDxhVaU60GJ2bpXc8tZqI1bT8U0Ac0DWTU/edit?usp=sharing"",""REGISTRATION!C:V""),19,FALSE),"""")"),"Asthma")</f>
        <v>Asthma</v>
      </c>
    </row>
    <row r="156">
      <c r="C156" s="31" t="s">
        <v>160</v>
      </c>
      <c r="D156" s="32" t="str">
        <f>IFERROR(__xludf.DUMMYFUNCTION("IFNA(
IF(
VLOOKUP(C156,IMPORTRANGE(""https://docs.google.com/spreadsheets/d/1rG8iy-kKSFDxhVaU60GJ2bpXc8tZqI1bT8U0Ac0DWTU/edit?usp=sharing"",""REGISTRATION!C:X""),22,FALSE)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56" s="33" t="str">
        <f>IFERROR(__xludf.DUMMYFUNCTION("IFNA(
IF(
VLOOKUP(C156,IMPORTRANGE(""https://docs.google.com/spreadsheets/d/1rG8iy-kKSFDxhVaU60GJ2bpXc8tZqI1bT8U0Ac0DWTU/edit?usp=sharing"",""REGISTRATION!C:AB""),26,FALSE)
=""No"",
""No Candy"",
""""
),
""""
)"),"")</f>
        <v/>
      </c>
      <c r="F156" s="32" t="str">
        <f>IFERROR(__xludf.DUMMYFUNCTION("IFNA(VLOOKUP(C156,IMPORTRANGE(""https://docs.google.com/spreadsheets/d/1rG8iy-kKSFDxhVaU60GJ2bpXc8tZqI1bT8U0Ac0DWTU/edit?usp=sharing"",""REGISTRATION!C:V""),18,FALSE),"""")"),"None")</f>
        <v>None</v>
      </c>
      <c r="G156" s="32" t="str">
        <f>IFERROR(__xludf.DUMMYFUNCTION("IFNA(VLOOKUP(C156,IMPORTRANGE(""https://docs.google.com/spreadsheets/d/1rG8iy-kKSFDxhVaU60GJ2bpXc8tZqI1bT8U0Ac0DWTU/edit?usp=sharing"",""REGISTRATION!C:V""),20,FALSE),"""")"),"")</f>
        <v/>
      </c>
      <c r="H156" s="32" t="str">
        <f>IFERROR(__xludf.DUMMYFUNCTION("IFNA(VLOOKUP(C156,IMPORTRANGE(""https://docs.google.com/spreadsheets/d/1rG8iy-kKSFDxhVaU60GJ2bpXc8tZqI1bT8U0Ac0DWTU/edit?usp=sharing"",""REGISTRATION!C:V""),19,FALSE),"""")"),"None")</f>
        <v>None</v>
      </c>
    </row>
    <row r="157">
      <c r="C157" s="31"/>
      <c r="D157" s="32" t="str">
        <f>IFERROR(__xludf.DUMMYFUNCTION("IFNA(
IF(
VLOOKUP(C157,IMPORTRANGE(""https://docs.google.com/spreadsheets/d/1rG8iy-kKSFDxhVaU60GJ2bpXc8tZqI1bT8U0Ac0DWTU/edit?usp=sharing"",""REGISTRATION!C:X""),22,FALSE)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57" s="33" t="str">
        <f>IFERROR(__xludf.DUMMYFUNCTION("IFNA(
IF(
VLOOKUP(C157,IMPORTRANGE(""https://docs.google.com/spreadsheets/d/1rG8iy-kKSFDxhVaU60GJ2bpXc8tZqI1bT8U0Ac0DWTU/edit?usp=sharing"",""REGISTRATION!C:AB""),26,FALSE)
=""No"",
""No Candy"",
""""
),
""""
)"),"")</f>
        <v/>
      </c>
      <c r="F157" s="32" t="str">
        <f>IFERROR(__xludf.DUMMYFUNCTION("IFNA(VLOOKUP(C157,IMPORTRANGE(""https://docs.google.com/spreadsheets/d/1rG8iy-kKSFDxhVaU60GJ2bpXc8tZqI1bT8U0Ac0DWTU/edit?usp=sharing"",""REGISTRATION!C:V""),18,FALSE),"""")"),"")</f>
        <v/>
      </c>
      <c r="G157" s="32" t="str">
        <f>IFERROR(__xludf.DUMMYFUNCTION("IFNA(VLOOKUP(C157,IMPORTRANGE(""https://docs.google.com/spreadsheets/d/1rG8iy-kKSFDxhVaU60GJ2bpXc8tZqI1bT8U0Ac0DWTU/edit?usp=sharing"",""REGISTRATION!C:V""),20,FALSE),"""")"),"")</f>
        <v/>
      </c>
      <c r="H157" s="32" t="str">
        <f>IFERROR(__xludf.DUMMYFUNCTION("IFNA(VLOOKUP(C157,IMPORTRANGE(""https://docs.google.com/spreadsheets/d/1rG8iy-kKSFDxhVaU60GJ2bpXc8tZqI1bT8U0Ac0DWTU/edit?usp=sharing"",""REGISTRATION!C:V""),19,FALSE),"""")"),"")</f>
        <v/>
      </c>
    </row>
    <row r="158">
      <c r="C158" s="31"/>
      <c r="D158" s="32" t="str">
        <f>IFERROR(__xludf.DUMMYFUNCTION("IFNA(
IF(
VLOOKUP(C158,IMPORTRANGE(""https://docs.google.com/spreadsheets/d/1rG8iy-kKSFDxhVaU60GJ2bpXc8tZqI1bT8U0Ac0DWTU/edit?usp=sharing"",""REGISTRATION!C:X""),22,FALSE)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58" s="33" t="str">
        <f>IFERROR(__xludf.DUMMYFUNCTION("IFNA(
IF(
VLOOKUP(C158,IMPORTRANGE(""https://docs.google.com/spreadsheets/d/1rG8iy-kKSFDxhVaU60GJ2bpXc8tZqI1bT8U0Ac0DWTU/edit?usp=sharing"",""REGISTRATION!C:AB""),26,FALSE)
=""No"",
""No Candy"",
""""
),
""""
)"),"")</f>
        <v/>
      </c>
      <c r="F158" s="32" t="str">
        <f>IFERROR(__xludf.DUMMYFUNCTION("IFNA(VLOOKUP(C158,IMPORTRANGE(""https://docs.google.com/spreadsheets/d/1rG8iy-kKSFDxhVaU60GJ2bpXc8tZqI1bT8U0Ac0DWTU/edit?usp=sharing"",""REGISTRATION!C:V""),18,FALSE),"""")"),"")</f>
        <v/>
      </c>
      <c r="G158" s="32" t="str">
        <f>IFERROR(__xludf.DUMMYFUNCTION("IFNA(VLOOKUP(C158,IMPORTRANGE(""https://docs.google.com/spreadsheets/d/1rG8iy-kKSFDxhVaU60GJ2bpXc8tZqI1bT8U0Ac0DWTU/edit?usp=sharing"",""REGISTRATION!C:V""),20,FALSE),"""")"),"")</f>
        <v/>
      </c>
      <c r="H158" s="32" t="str">
        <f>IFERROR(__xludf.DUMMYFUNCTION("IFNA(VLOOKUP(C158,IMPORTRANGE(""https://docs.google.com/spreadsheets/d/1rG8iy-kKSFDxhVaU60GJ2bpXc8tZqI1bT8U0Ac0DWTU/edit?usp=sharing"",""REGISTRATION!C:V""),19,FALSE),"""")"),"")</f>
        <v/>
      </c>
    </row>
    <row r="159">
      <c r="C159" s="31"/>
      <c r="D159" s="32" t="str">
        <f>IFERROR(__xludf.DUMMYFUNCTION("IFNA(
IF(
VLOOKUP(C159,IMPORTRANGE(""https://docs.google.com/spreadsheets/d/1rG8iy-kKSFDxhVaU60GJ2bpXc8tZqI1bT8U0Ac0DWTU/edit?usp=sharing"",""REGISTRATION!C:X""),22,FALSE)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59" s="33" t="str">
        <f>IFERROR(__xludf.DUMMYFUNCTION("IFNA(
IF(
VLOOKUP(C159,IMPORTRANGE(""https://docs.google.com/spreadsheets/d/1rG8iy-kKSFDxhVaU60GJ2bpXc8tZqI1bT8U0Ac0DWTU/edit?usp=sharing"",""REGISTRATION!C:AB""),26,FALSE)
=""No"",
""No Candy"",
""""
),
""""
)"),"")</f>
        <v/>
      </c>
      <c r="F159" s="32" t="str">
        <f>IFERROR(__xludf.DUMMYFUNCTION("IFNA(VLOOKUP(C159,IMPORTRANGE(""https://docs.google.com/spreadsheets/d/1rG8iy-kKSFDxhVaU60GJ2bpXc8tZqI1bT8U0Ac0DWTU/edit?usp=sharing"",""REGISTRATION!C:V""),18,FALSE),"""")"),"")</f>
        <v/>
      </c>
      <c r="G159" s="32" t="str">
        <f>IFERROR(__xludf.DUMMYFUNCTION("IFNA(VLOOKUP(C159,IMPORTRANGE(""https://docs.google.com/spreadsheets/d/1rG8iy-kKSFDxhVaU60GJ2bpXc8tZqI1bT8U0Ac0DWTU/edit?usp=sharing"",""REGISTRATION!C:V""),20,FALSE),"""")"),"")</f>
        <v/>
      </c>
      <c r="H159" s="32" t="str">
        <f>IFERROR(__xludf.DUMMYFUNCTION("IFNA(VLOOKUP(C159,IMPORTRANGE(""https://docs.google.com/spreadsheets/d/1rG8iy-kKSFDxhVaU60GJ2bpXc8tZqI1bT8U0Ac0DWTU/edit?usp=sharing"",""REGISTRATION!C:V""),19,FALSE),"""")"),"")</f>
        <v/>
      </c>
    </row>
    <row r="160">
      <c r="C160" s="31"/>
      <c r="D160" s="32" t="str">
        <f>IFERROR(__xludf.DUMMYFUNCTION("IFNA(
IF(
VLOOKUP(C160,IMPORTRANGE(""https://docs.google.com/spreadsheets/d/1rG8iy-kKSFDxhVaU60GJ2bpXc8tZqI1bT8U0Ac0DWTU/edit?usp=sharing"",""REGISTRATION!C:X""),22,FALSE)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60" s="33" t="str">
        <f>IFERROR(__xludf.DUMMYFUNCTION("IFNA(
IF(
VLOOKUP(C160,IMPORTRANGE(""https://docs.google.com/spreadsheets/d/1rG8iy-kKSFDxhVaU60GJ2bpXc8tZqI1bT8U0Ac0DWTU/edit?usp=sharing"",""REGISTRATION!C:AB""),26,FALSE)
=""No"",
""No Candy"",
""""
),
""""
)"),"")</f>
        <v/>
      </c>
      <c r="F160" s="32" t="str">
        <f>IFERROR(__xludf.DUMMYFUNCTION("IFNA(VLOOKUP(C160,IMPORTRANGE(""https://docs.google.com/spreadsheets/d/1rG8iy-kKSFDxhVaU60GJ2bpXc8tZqI1bT8U0Ac0DWTU/edit?usp=sharing"",""REGISTRATION!C:V""),18,FALSE),"""")"),"")</f>
        <v/>
      </c>
      <c r="G160" s="32" t="str">
        <f>IFERROR(__xludf.DUMMYFUNCTION("IFNA(VLOOKUP(C160,IMPORTRANGE(""https://docs.google.com/spreadsheets/d/1rG8iy-kKSFDxhVaU60GJ2bpXc8tZqI1bT8U0Ac0DWTU/edit?usp=sharing"",""REGISTRATION!C:V""),20,FALSE),"""")"),"")</f>
        <v/>
      </c>
      <c r="H160" s="32" t="str">
        <f>IFERROR(__xludf.DUMMYFUNCTION("IFNA(VLOOKUP(C160,IMPORTRANGE(""https://docs.google.com/spreadsheets/d/1rG8iy-kKSFDxhVaU60GJ2bpXc8tZqI1bT8U0Ac0DWTU/edit?usp=sharing"",""REGISTRATION!C:V""),19,FALSE),"""")"),"")</f>
        <v/>
      </c>
    </row>
    <row r="161">
      <c r="C161" s="31"/>
      <c r="D161" s="32"/>
      <c r="E161" s="33"/>
      <c r="F161" s="32"/>
      <c r="G161" s="32"/>
      <c r="H161" s="32"/>
    </row>
    <row r="162">
      <c r="C162" s="31"/>
      <c r="D162" s="32" t="str">
        <f>IFERROR(__xludf.DUMMYFUNCTION("IFNA(
IF(
VLOOKUP(C162,IMPORTRANGE(""https://docs.google.com/spreadsheets/d/1rG8iy-kKSFDxhVaU60GJ2bpXc8tZqI1bT8U0Ac0DWTU/edit?usp=sharing"",""REGISTRATION!C:X""),22,FALSE)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62" s="33" t="str">
        <f>IFERROR(__xludf.DUMMYFUNCTION("IFNA(
IF(
VLOOKUP(C162,IMPORTRANGE(""https://docs.google.com/spreadsheets/d/1rG8iy-kKSFDxhVaU60GJ2bpXc8tZqI1bT8U0Ac0DWTU/edit?usp=sharing"",""REGISTRATION!C:AB""),26,FALSE)
=""No"",
""No Candy"",
""""
),
""""
)"),"")</f>
        <v/>
      </c>
      <c r="F162" s="32" t="str">
        <f>IFERROR(__xludf.DUMMYFUNCTION("IFNA(VLOOKUP(C162,IMPORTRANGE(""https://docs.google.com/spreadsheets/d/1rG8iy-kKSFDxhVaU60GJ2bpXc8tZqI1bT8U0Ac0DWTU/edit?usp=sharing"",""REGISTRATION!C:V""),18,FALSE),"""")"),"")</f>
        <v/>
      </c>
      <c r="G162" s="32" t="str">
        <f>IFERROR(__xludf.DUMMYFUNCTION("IFNA(VLOOKUP(C162,IMPORTRANGE(""https://docs.google.com/spreadsheets/d/1rG8iy-kKSFDxhVaU60GJ2bpXc8tZqI1bT8U0Ac0DWTU/edit?usp=sharing"",""REGISTRATION!C:V""),20,FALSE),"""")"),"")</f>
        <v/>
      </c>
      <c r="H162" s="32" t="str">
        <f>IFERROR(__xludf.DUMMYFUNCTION("IFNA(VLOOKUP(C162,IMPORTRANGE(""https://docs.google.com/spreadsheets/d/1rG8iy-kKSFDxhVaU60GJ2bpXc8tZqI1bT8U0Ac0DWTU/edit?usp=sharing"",""REGISTRATION!C:V""),19,FALSE),"""")"),"")</f>
        <v/>
      </c>
    </row>
    <row r="163">
      <c r="D163" s="32" t="str">
        <f>IFERROR(__xludf.DUMMYFUNCTION("IFNA(
IF(
VLOOKUP(C163,IMPORTRANGE(""https://docs.google.com/spreadsheets/d/1rG8iy-kKSFDxhVaU60GJ2bpXc8tZqI1bT8U0Ac0DWTU/edit?usp=sharing"",""REGISTRATION!C:X""),22,FALSE)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63" s="33" t="str">
        <f>IFERROR(__xludf.DUMMYFUNCTION("IFNA(
IF(
VLOOKUP(C163,IMPORTRANGE(""https://docs.google.com/spreadsheets/d/1rG8iy-kKSFDxhVaU60GJ2bpXc8tZqI1bT8U0Ac0DWTU/edit?usp=sharing"",""REGISTRATION!C:AB""),26,FALSE)
=""No"",
""No Candy"",
""""
),
""""
)"),"")</f>
        <v/>
      </c>
      <c r="F163" s="32" t="str">
        <f>IFERROR(__xludf.DUMMYFUNCTION("IFNA(VLOOKUP(C163,IMPORTRANGE(""https://docs.google.com/spreadsheets/d/1rG8iy-kKSFDxhVaU60GJ2bpXc8tZqI1bT8U0Ac0DWTU/edit?usp=sharing"",""REGISTRATION!C:V""),18,FALSE),"""")"),"")</f>
        <v/>
      </c>
      <c r="G163" s="32" t="str">
        <f>IFERROR(__xludf.DUMMYFUNCTION("IFNA(VLOOKUP(C163,IMPORTRANGE(""https://docs.google.com/spreadsheets/d/1rG8iy-kKSFDxhVaU60GJ2bpXc8tZqI1bT8U0Ac0DWTU/edit?usp=sharing"",""REGISTRATION!C:V""),20,FALSE),"""")"),"")</f>
        <v/>
      </c>
      <c r="H163" s="32" t="str">
        <f>IFERROR(__xludf.DUMMYFUNCTION("IFNA(VLOOKUP(C163,IMPORTRANGE(""https://docs.google.com/spreadsheets/d/1rG8iy-kKSFDxhVaU60GJ2bpXc8tZqI1bT8U0Ac0DWTU/edit?usp=sharing"",""REGISTRATION!C:V""),19,FALSE),"""")"),"")</f>
        <v/>
      </c>
    </row>
    <row r="164" ht="16.5" customHeight="1">
      <c r="A164" s="15" t="s">
        <v>161</v>
      </c>
      <c r="B164" s="15" t="s">
        <v>162</v>
      </c>
      <c r="C164" s="20" t="s">
        <v>163</v>
      </c>
      <c r="D164" s="23" t="str">
        <f>IFERROR(__xludf.DUMMYFUNCTION("IFNA(
IF(
VLOOKUP(C164,IMPORTRANGE(""https://docs.google.com/spreadsheets/d/1rG8iy-kKSFDxhVaU60GJ2bpXc8tZqI1bT8U0Ac0DWTU/edit?usp=sharing"",""REGISTRATION!C:X""),22,FALSE)
=""I qualify for Free and Reduced Lunch and WOULD like lunch to be provided for my "&amp;"child."",
""Yes"",
""""
),
""""
)"),"Yes")</f>
        <v>Yes</v>
      </c>
      <c r="E164" s="22" t="str">
        <f>IFERROR(__xludf.DUMMYFUNCTION("IFNA(
IF(
VLOOKUP(C164,IMPORTRANGE(""https://docs.google.com/spreadsheets/d/1rG8iy-kKSFDxhVaU60GJ2bpXc8tZqI1bT8U0Ac0DWTU/edit?usp=sharing"",""REGISTRATION!C:AB""),26,FALSE)
=""No"",
""No Candy"",
""""
),
""""
)"),"")</f>
        <v/>
      </c>
      <c r="F164" s="21" t="str">
        <f>IFERROR(__xludf.DUMMYFUNCTION("IFNA(VLOOKUP(C164,IMPORTRANGE(""https://docs.google.com/spreadsheets/d/1rG8iy-kKSFDxhVaU60GJ2bpXc8tZqI1bT8U0Ac0DWTU/edit?usp=sharing"",""REGISTRATION!C:V""),18,FALSE),"""")"),"None")</f>
        <v>None</v>
      </c>
      <c r="G164" s="21" t="str">
        <f>IFERROR(__xludf.DUMMYFUNCTION("IFNA(VLOOKUP(C164,IMPORTRANGE(""https://docs.google.com/spreadsheets/d/1rG8iy-kKSFDxhVaU60GJ2bpXc8tZqI1bT8U0Ac0DWTU/edit?usp=sharing"",""REGISTRATION!C:V""),20,FALSE),"""")"),"")</f>
        <v/>
      </c>
      <c r="H164" s="21" t="str">
        <f>IFERROR(__xludf.DUMMYFUNCTION("IFNA(VLOOKUP(C164,IMPORTRANGE(""https://docs.google.com/spreadsheets/d/1rG8iy-kKSFDxhVaU60GJ2bpXc8tZqI1bT8U0Ac0DWTU/edit?usp=sharing"",""REGISTRATION!C:V""),19,FALSE),"""")"),"None")</f>
        <v>None</v>
      </c>
    </row>
    <row r="165">
      <c r="C165" s="20" t="s">
        <v>164</v>
      </c>
      <c r="D165" s="23" t="str">
        <f>IFERROR(__xludf.DUMMYFUNCTION("IFNA(
IF(
VLOOKUP(C165,IMPORTRANGE(""https://docs.google.com/spreadsheets/d/1rG8iy-kKSFDxhVaU60GJ2bpXc8tZqI1bT8U0Ac0DWTU/edit?usp=sharing"",""REGISTRATION!C:X""),22,FALSE)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65" s="22" t="str">
        <f>IFERROR(__xludf.DUMMYFUNCTION("IFNA(
IF(
VLOOKUP(C165,IMPORTRANGE(""https://docs.google.com/spreadsheets/d/1rG8iy-kKSFDxhVaU60GJ2bpXc8tZqI1bT8U0Ac0DWTU/edit?usp=sharing"",""REGISTRATION!C:AB""),26,FALSE)
=""No"",
""No Candy"",
""""
),
""""
)"),"")</f>
        <v/>
      </c>
      <c r="F165" s="21" t="str">
        <f>IFERROR(__xludf.DUMMYFUNCTION("IFNA(VLOOKUP(C165,IMPORTRANGE(""https://docs.google.com/spreadsheets/d/1rG8iy-kKSFDxhVaU60GJ2bpXc8tZqI1bT8U0Ac0DWTU/edit?usp=sharing"",""REGISTRATION!C:V""),18,FALSE),"""")"),"None")</f>
        <v>None</v>
      </c>
      <c r="G165" s="21" t="str">
        <f>IFERROR(__xludf.DUMMYFUNCTION("IFNA(VLOOKUP(C165,IMPORTRANGE(""https://docs.google.com/spreadsheets/d/1rG8iy-kKSFDxhVaU60GJ2bpXc8tZqI1bT8U0Ac0DWTU/edit?usp=sharing"",""REGISTRATION!C:V""),20,FALSE),"""")"),"")</f>
        <v/>
      </c>
      <c r="H165" s="21" t="str">
        <f>IFERROR(__xludf.DUMMYFUNCTION("IFNA(VLOOKUP(C165,IMPORTRANGE(""https://docs.google.com/spreadsheets/d/1rG8iy-kKSFDxhVaU60GJ2bpXc8tZqI1bT8U0Ac0DWTU/edit?usp=sharing"",""REGISTRATION!C:V""),19,FALSE),"""")"),"None")</f>
        <v>None</v>
      </c>
    </row>
    <row r="166">
      <c r="C166" s="20" t="s">
        <v>165</v>
      </c>
      <c r="D166" s="23" t="str">
        <f>IFERROR(__xludf.DUMMYFUNCTION("IFNA(
IF(
VLOOKUP(C166,IMPORTRANGE(""https://docs.google.com/spreadsheets/d/1rG8iy-kKSFDxhVaU60GJ2bpXc8tZqI1bT8U0Ac0DWTU/edit?usp=sharing"",""REGISTRATION!C:X""),22,FALSE)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66" s="22" t="str">
        <f>IFERROR(__xludf.DUMMYFUNCTION("IFNA(
IF(
VLOOKUP(C166,IMPORTRANGE(""https://docs.google.com/spreadsheets/d/1rG8iy-kKSFDxhVaU60GJ2bpXc8tZqI1bT8U0Ac0DWTU/edit?usp=sharing"",""REGISTRATION!C:AB""),26,FALSE)
=""No"",
""No Candy"",
""""
),
""""
)"),"")</f>
        <v/>
      </c>
      <c r="F166" s="21" t="str">
        <f>IFERROR(__xludf.DUMMYFUNCTION("IFNA(VLOOKUP(C166,IMPORTRANGE(""https://docs.google.com/spreadsheets/d/1rG8iy-kKSFDxhVaU60GJ2bpXc8tZqI1bT8U0Ac0DWTU/edit?usp=sharing"",""REGISTRATION!C:V""),18,FALSE),"""")"),"None")</f>
        <v>None</v>
      </c>
      <c r="G166" s="21" t="str">
        <f>IFERROR(__xludf.DUMMYFUNCTION("IFNA(VLOOKUP(C166,IMPORTRANGE(""https://docs.google.com/spreadsheets/d/1rG8iy-kKSFDxhVaU60GJ2bpXc8tZqI1bT8U0Ac0DWTU/edit?usp=sharing"",""REGISTRATION!C:V""),20,FALSE),"""")"),"")</f>
        <v/>
      </c>
      <c r="H166" s="21" t="str">
        <f>IFERROR(__xludf.DUMMYFUNCTION("IFNA(VLOOKUP(C166,IMPORTRANGE(""https://docs.google.com/spreadsheets/d/1rG8iy-kKSFDxhVaU60GJ2bpXc8tZqI1bT8U0Ac0DWTU/edit?usp=sharing"",""REGISTRATION!C:V""),19,FALSE),"""")"),"None")</f>
        <v>None</v>
      </c>
    </row>
    <row r="167">
      <c r="C167" s="16" t="s">
        <v>166</v>
      </c>
      <c r="D167" s="19" t="str">
        <f>IFERROR(__xludf.DUMMYFUNCTION("IFNA(
IF(
VLOOKUP(C167,IMPORTRANGE(""https://docs.google.com/spreadsheets/d/1rG8iy-kKSFDxhVaU60GJ2bpXc8tZqI1bT8U0Ac0DWTU/edit?usp=sharing"",""REGISTRATION!C:X""),22,FALSE)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67" s="18" t="str">
        <f>IFERROR(__xludf.DUMMYFUNCTION("IFNA(
IF(
VLOOKUP(C167,IMPORTRANGE(""https://docs.google.com/spreadsheets/d/1rG8iy-kKSFDxhVaU60GJ2bpXc8tZqI1bT8U0Ac0DWTU/edit?usp=sharing"",""REGISTRATION!C:AB""),26,FALSE)
=""No"",
""No Candy"",
""""
),
""""
)"),"")</f>
        <v/>
      </c>
      <c r="F167" s="19" t="str">
        <f>IFERROR(__xludf.DUMMYFUNCTION("IFNA(VLOOKUP(C167,IMPORTRANGE(""https://docs.google.com/spreadsheets/d/1rG8iy-kKSFDxhVaU60GJ2bpXc8tZqI1bT8U0Ac0DWTU/edit?usp=sharing"",""REGISTRATION!C:V""),18,FALSE),"""")"),"Raw carrots")</f>
        <v>Raw carrots</v>
      </c>
      <c r="G167" s="17" t="str">
        <f>IFERROR(__xludf.DUMMYFUNCTION("IFNA(VLOOKUP(C167,IMPORTRANGE(""https://docs.google.com/spreadsheets/d/1rG8iy-kKSFDxhVaU60GJ2bpXc8tZqI1bT8U0Ac0DWTU/edit?usp=sharing"",""REGISTRATION!C:V""),20,FALSE),"""")"),"First time learning computer language ")</f>
        <v>First time learning computer language </v>
      </c>
      <c r="H167" s="17" t="str">
        <f>IFERROR(__xludf.DUMMYFUNCTION("IFNA(VLOOKUP(C167,IMPORTRANGE(""https://docs.google.com/spreadsheets/d/1rG8iy-kKSFDxhVaU60GJ2bpXc8tZqI1bT8U0Ac0DWTU/edit?usp=sharing"",""REGISTRATION!C:V""),19,FALSE),"""")"),"None")</f>
        <v>None</v>
      </c>
    </row>
    <row r="168">
      <c r="C168" s="20" t="s">
        <v>167</v>
      </c>
      <c r="D168" s="23" t="str">
        <f>IFERROR(__xludf.DUMMYFUNCTION("IFNA(
IF(
VLOOKUP(C168,IMPORTRANGE(""https://docs.google.com/spreadsheets/d/1rG8iy-kKSFDxhVaU60GJ2bpXc8tZqI1bT8U0Ac0DWTU/edit?usp=sharing"",""REGISTRATION!C:X""),22,FALSE)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68" s="22" t="str">
        <f>IFERROR(__xludf.DUMMYFUNCTION("IFNA(
IF(
VLOOKUP(C168,IMPORTRANGE(""https://docs.google.com/spreadsheets/d/1rG8iy-kKSFDxhVaU60GJ2bpXc8tZqI1bT8U0Ac0DWTU/edit?usp=sharing"",""REGISTRATION!C:AB""),26,FALSE)
=""No"",
""No Candy"",
""""
),
""""
)"),"")</f>
        <v/>
      </c>
      <c r="F168" s="21" t="str">
        <f>IFERROR(__xludf.DUMMYFUNCTION("IFNA(VLOOKUP(C168,IMPORTRANGE(""https://docs.google.com/spreadsheets/d/1rG8iy-kKSFDxhVaU60GJ2bpXc8tZqI1bT8U0Ac0DWTU/edit?usp=sharing"",""REGISTRATION!C:V""),18,FALSE),"""")"),"None")</f>
        <v>None</v>
      </c>
      <c r="G168" s="21" t="str">
        <f>IFERROR(__xludf.DUMMYFUNCTION("IFNA(VLOOKUP(C168,IMPORTRANGE(""https://docs.google.com/spreadsheets/d/1rG8iy-kKSFDxhVaU60GJ2bpXc8tZqI1bT8U0Ac0DWTU/edit?usp=sharing"",""REGISTRATION!C:V""),20,FALSE),"""")"),"")</f>
        <v/>
      </c>
      <c r="H168" s="21" t="str">
        <f>IFERROR(__xludf.DUMMYFUNCTION("IFNA(VLOOKUP(C168,IMPORTRANGE(""https://docs.google.com/spreadsheets/d/1rG8iy-kKSFDxhVaU60GJ2bpXc8tZqI1bT8U0Ac0DWTU/edit?usp=sharing"",""REGISTRATION!C:V""),19,FALSE),"""")"),"None")</f>
        <v>None</v>
      </c>
    </row>
    <row r="169">
      <c r="C169" s="20" t="s">
        <v>168</v>
      </c>
      <c r="D169" s="23" t="str">
        <f>IFERROR(__xludf.DUMMYFUNCTION("IFNA(
IF(
VLOOKUP(C169,IMPORTRANGE(""https://docs.google.com/spreadsheets/d/1rG8iy-kKSFDxhVaU60GJ2bpXc8tZqI1bT8U0Ac0DWTU/edit?usp=sharing"",""REGISTRATION!C:X""),22,FALSE)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69" s="22" t="str">
        <f>IFERROR(__xludf.DUMMYFUNCTION("IFNA(
IF(
VLOOKUP(C169,IMPORTRANGE(""https://docs.google.com/spreadsheets/d/1rG8iy-kKSFDxhVaU60GJ2bpXc8tZqI1bT8U0Ac0DWTU/edit?usp=sharing"",""REGISTRATION!C:AB""),26,FALSE)
=""No"",
""No Candy"",
""""
),
""""
)"),"")</f>
        <v/>
      </c>
      <c r="F169" s="21" t="str">
        <f>IFERROR(__xludf.DUMMYFUNCTION("IFNA(VLOOKUP(C169,IMPORTRANGE(""https://docs.google.com/spreadsheets/d/1rG8iy-kKSFDxhVaU60GJ2bpXc8tZqI1bT8U0Ac0DWTU/edit?usp=sharing"",""REGISTRATION!C:V""),18,FALSE),"""")"),"None")</f>
        <v>None</v>
      </c>
      <c r="G169" s="21" t="str">
        <f>IFERROR(__xludf.DUMMYFUNCTION("IFNA(VLOOKUP(C169,IMPORTRANGE(""https://docs.google.com/spreadsheets/d/1rG8iy-kKSFDxhVaU60GJ2bpXc8tZqI1bT8U0Ac0DWTU/edit?usp=sharing"",""REGISTRATION!C:V""),20,FALSE),"""")"),"")</f>
        <v/>
      </c>
      <c r="H169" s="21" t="str">
        <f>IFERROR(__xludf.DUMMYFUNCTION("IFNA(VLOOKUP(C169,IMPORTRANGE(""https://docs.google.com/spreadsheets/d/1rG8iy-kKSFDxhVaU60GJ2bpXc8tZqI1bT8U0Ac0DWTU/edit?usp=sharing"",""REGISTRATION!C:V""),19,FALSE),"""")"),"None")</f>
        <v>None</v>
      </c>
    </row>
    <row r="170">
      <c r="C170" s="53" t="s">
        <v>169</v>
      </c>
      <c r="D170" s="19" t="str">
        <f>IFERROR(__xludf.DUMMYFUNCTION("IFNA(
IF(
VLOOKUP(C170,IMPORTRANGE(""https://docs.google.com/spreadsheets/d/1rG8iy-kKSFDxhVaU60GJ2bpXc8tZqI1bT8U0Ac0DWTU/edit?usp=sharing"",""REGISTRATION!C:X""),22,FALSE)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70" s="18"/>
      <c r="F170" s="18" t="str">
        <f>IFERROR(__xludf.DUMMYFUNCTION("IFNA(
IF(
VLOOKUP(C170,IMPORTRANGE(""https://docs.google.com/spreadsheets/d/1rG8iy-kKSFDxhVaU60GJ2bpXc8tZqI1bT8U0Ac0DWTU/edit?usp=sharing"",""REGISTRATION!C:AB""),26,FALSE)
=""No"",
""No Candy"",
""""
),
""""
)"),"")</f>
        <v/>
      </c>
      <c r="G170" s="17" t="str">
        <f>IFERROR(__xludf.DUMMYFUNCTION("IFNA(VLOOKUP(C170,IMPORTRANGE(""https://docs.google.com/spreadsheets/d/1rG8iy-kKSFDxhVaU60GJ2bpXc8tZqI1bT8U0Ac0DWTU/edit?usp=sharing"",""REGISTRATION!C:V""),20,FALSE),"""")"),"")</f>
        <v/>
      </c>
      <c r="H170" s="17" t="str">
        <f>IFERROR(__xludf.DUMMYFUNCTION("IFNA(VLOOKUP(C170,IMPORTRANGE(""https://docs.google.com/spreadsheets/d/1rG8iy-kKSFDxhVaU60GJ2bpXc8tZqI1bT8U0Ac0DWTU/edit?usp=sharing"",""REGISTRATION!C:V""),19,FALSE),"""")"),"None")</f>
        <v>None</v>
      </c>
    </row>
    <row r="171">
      <c r="C171" s="28" t="s">
        <v>170</v>
      </c>
      <c r="D171" s="23" t="str">
        <f>IFERROR(__xludf.DUMMYFUNCTION("IFNA(
IF(
VLOOKUP(C171,IMPORTRANGE(""https://docs.google.com/spreadsheets/d/1rG8iy-kKSFDxhVaU60GJ2bpXc8tZqI1bT8U0Ac0DWTU/edit?usp=sharing"",""REGISTRATION!C:X""),22,FALSE)
=""I qualify for Free and Reduced Lunch and WOULD like lunch to be provided for my "&amp;"child."",
""Yes"",
""""
),
""""
)"),"Yes")</f>
        <v>Yes</v>
      </c>
      <c r="E171" s="22" t="str">
        <f>IFERROR(__xludf.DUMMYFUNCTION("IFNA(
IF(
VLOOKUP(C171,IMPORTRANGE(""https://docs.google.com/spreadsheets/d/1rG8iy-kKSFDxhVaU60GJ2bpXc8tZqI1bT8U0Ac0DWTU/edit?usp=sharing"",""REGISTRATION!C:AB""),26,FALSE)
=""No"",
""No Candy"",
""""
),
""""
)"),"")</f>
        <v/>
      </c>
      <c r="F171" s="21" t="str">
        <f>IFERROR(__xludf.DUMMYFUNCTION("IFNA(VLOOKUP(C171,IMPORTRANGE(""https://docs.google.com/spreadsheets/d/1rG8iy-kKSFDxhVaU60GJ2bpXc8tZqI1bT8U0Ac0DWTU/edit?usp=sharing"",""REGISTRATION!C:V""),18,FALSE),"""")"),"None")</f>
        <v>None</v>
      </c>
      <c r="G171" s="21" t="str">
        <f>IFERROR(__xludf.DUMMYFUNCTION("IFNA(VLOOKUP(C171,IMPORTRANGE(""https://docs.google.com/spreadsheets/d/1rG8iy-kKSFDxhVaU60GJ2bpXc8tZqI1bT8U0Ac0DWTU/edit?usp=sharing"",""REGISTRATION!C:V""),20,FALSE),"""")"),"")</f>
        <v/>
      </c>
      <c r="H171" s="21" t="str">
        <f>IFERROR(__xludf.DUMMYFUNCTION("IFNA(VLOOKUP(C171,IMPORTRANGE(""https://docs.google.com/spreadsheets/d/1rG8iy-kKSFDxhVaU60GJ2bpXc8tZqI1bT8U0Ac0DWTU/edit?usp=sharing"",""REGISTRATION!C:V""),19,FALSE),"""")"),"None")</f>
        <v>None</v>
      </c>
    </row>
    <row r="172">
      <c r="C172" s="28" t="s">
        <v>171</v>
      </c>
      <c r="D172" s="23" t="str">
        <f>IFERROR(__xludf.DUMMYFUNCTION("IFNA(
IF(
VLOOKUP(C172,IMPORTRANGE(""https://docs.google.com/spreadsheets/d/1rG8iy-kKSFDxhVaU60GJ2bpXc8tZqI1bT8U0Ac0DWTU/edit?usp=sharing"",""REGISTRATION!C:X""),22,FALSE)
=""I qualify for Free and Reduced Lunch and WOULD like lunch to be provided for my "&amp;"child."",
""Yes"",
""""
),
""""
)"),"Yes")</f>
        <v>Yes</v>
      </c>
      <c r="E172" s="22" t="str">
        <f>IFERROR(__xludf.DUMMYFUNCTION("IFNA(
IF(
VLOOKUP(C172,IMPORTRANGE(""https://docs.google.com/spreadsheets/d/1rG8iy-kKSFDxhVaU60GJ2bpXc8tZqI1bT8U0Ac0DWTU/edit?usp=sharing"",""REGISTRATION!C:AB""),26,FALSE)
=""No"",
""No Candy"",
""""
),
""""
)"),"")</f>
        <v/>
      </c>
      <c r="F172" s="21" t="str">
        <f>IFERROR(__xludf.DUMMYFUNCTION("IFNA(VLOOKUP(C172,IMPORTRANGE(""https://docs.google.com/spreadsheets/d/1rG8iy-kKSFDxhVaU60GJ2bpXc8tZqI1bT8U0Ac0DWTU/edit?usp=sharing"",""REGISTRATION!C:V""),18,FALSE),"""")"),"None")</f>
        <v>None</v>
      </c>
      <c r="G172" s="21" t="str">
        <f>IFERROR(__xludf.DUMMYFUNCTION("IFNA(VLOOKUP(C172,IMPORTRANGE(""https://docs.google.com/spreadsheets/d/1rG8iy-kKSFDxhVaU60GJ2bpXc8tZqI1bT8U0Ac0DWTU/edit?usp=sharing"",""REGISTRATION!C:V""),20,FALSE),"""")"),"")</f>
        <v/>
      </c>
      <c r="H172" s="21" t="str">
        <f>IFERROR(__xludf.DUMMYFUNCTION("IFNA(VLOOKUP(C172,IMPORTRANGE(""https://docs.google.com/spreadsheets/d/1rG8iy-kKSFDxhVaU60GJ2bpXc8tZqI1bT8U0Ac0DWTU/edit?usp=sharing"",""REGISTRATION!C:V""),19,FALSE),"""")"),"None")</f>
        <v>None</v>
      </c>
    </row>
    <row r="173">
      <c r="C173" s="56" t="s">
        <v>172</v>
      </c>
      <c r="D173" s="23" t="str">
        <f>IFERROR(__xludf.DUMMYFUNCTION("IFNA(
IF(
VLOOKUP(C173,IMPORTRANGE(""https://docs.google.com/spreadsheets/d/1rG8iy-kKSFDxhVaU60GJ2bpXc8tZqI1bT8U0Ac0DWTU/edit?usp=sharing"",""REGISTRATION!C:X""),22,FALSE)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73" s="22" t="str">
        <f>IFERROR(__xludf.DUMMYFUNCTION("IFNA(
IF(
VLOOKUP(C173,IMPORTRANGE(""https://docs.google.com/spreadsheets/d/1rG8iy-kKSFDxhVaU60GJ2bpXc8tZqI1bT8U0Ac0DWTU/edit?usp=sharing"",""REGISTRATION!C:AB""),26,FALSE)
=""No"",
""No Candy"",
""""
),
""""
)"),"")</f>
        <v/>
      </c>
      <c r="F173" s="21" t="str">
        <f>IFERROR(__xludf.DUMMYFUNCTION("IFNA(VLOOKUP(C173,IMPORTRANGE(""https://docs.google.com/spreadsheets/d/1rG8iy-kKSFDxhVaU60GJ2bpXc8tZqI1bT8U0Ac0DWTU/edit?usp=sharing"",""REGISTRATION!C:V""),18,FALSE),"""")"),"None")</f>
        <v>None</v>
      </c>
      <c r="G173" s="21" t="str">
        <f>IFERROR(__xludf.DUMMYFUNCTION("IFNA(VLOOKUP(C173,IMPORTRANGE(""https://docs.google.com/spreadsheets/d/1rG8iy-kKSFDxhVaU60GJ2bpXc8tZqI1bT8U0Ac0DWTU/edit?usp=sharing"",""REGISTRATION!C:V""),20,FALSE),"""")"),"")</f>
        <v/>
      </c>
      <c r="H173" s="21" t="str">
        <f>IFERROR(__xludf.DUMMYFUNCTION("IFNA(VLOOKUP(C173,IMPORTRANGE(""https://docs.google.com/spreadsheets/d/1rG8iy-kKSFDxhVaU60GJ2bpXc8tZqI1bT8U0Ac0DWTU/edit?usp=sharing"",""REGISTRATION!C:V""),19,FALSE),"""")"),"None")</f>
        <v>None</v>
      </c>
    </row>
    <row r="174">
      <c r="C174" s="28" t="s">
        <v>173</v>
      </c>
      <c r="D174" s="23" t="str">
        <f>IFERROR(__xludf.DUMMYFUNCTION("IFNA(
IF(
VLOOKUP(C174,IMPORTRANGE(""https://docs.google.com/spreadsheets/d/1rG8iy-kKSFDxhVaU60GJ2bpXc8tZqI1bT8U0Ac0DWTU/edit?usp=sharing"",""REGISTRATION!C:X""),22,FALSE)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74" s="22" t="str">
        <f>IFERROR(__xludf.DUMMYFUNCTION("IFNA(
IF(
VLOOKUP(C174,IMPORTRANGE(""https://docs.google.com/spreadsheets/d/1rG8iy-kKSFDxhVaU60GJ2bpXc8tZqI1bT8U0Ac0DWTU/edit?usp=sharing"",""REGISTRATION!C:AB""),26,FALSE)
=""No"",
""No Candy"",
""""
),
""""
)"),"")</f>
        <v/>
      </c>
      <c r="F174" s="21" t="str">
        <f>IFERROR(__xludf.DUMMYFUNCTION("IFNA(VLOOKUP(C174,IMPORTRANGE(""https://docs.google.com/spreadsheets/d/1rG8iy-kKSFDxhVaU60GJ2bpXc8tZqI1bT8U0Ac0DWTU/edit?usp=sharing"",""REGISTRATION!C:V""),18,FALSE),"""")"),"None")</f>
        <v>None</v>
      </c>
      <c r="G174" s="21" t="str">
        <f>IFERROR(__xludf.DUMMYFUNCTION("IFNA(VLOOKUP(C174,IMPORTRANGE(""https://docs.google.com/spreadsheets/d/1rG8iy-kKSFDxhVaU60GJ2bpXc8tZqI1bT8U0Ac0DWTU/edit?usp=sharing"",""REGISTRATION!C:V""),20,FALSE),"""")"),"")</f>
        <v/>
      </c>
      <c r="H174" s="21" t="str">
        <f>IFERROR(__xludf.DUMMYFUNCTION("IFNA(VLOOKUP(C174,IMPORTRANGE(""https://docs.google.com/spreadsheets/d/1rG8iy-kKSFDxhVaU60GJ2bpXc8tZqI1bT8U0Ac0DWTU/edit?usp=sharing"",""REGISTRATION!C:V""),19,FALSE),"""")"),"None")</f>
        <v>None</v>
      </c>
    </row>
    <row r="175">
      <c r="C175" s="28" t="s">
        <v>174</v>
      </c>
      <c r="D175" s="23" t="str">
        <f>IFERROR(__xludf.DUMMYFUNCTION("IFNA(
IF(
VLOOKUP(C175,IMPORTRANGE(""https://docs.google.com/spreadsheets/d/1rG8iy-kKSFDxhVaU60GJ2bpXc8tZqI1bT8U0Ac0DWTU/edit?usp=sharing"",""REGISTRATION!C:X""),22,FALSE)
=""I qualify for Free and Reduced Lunch and WOULD like lunch to be provided for my "&amp;"child."",
""Yes"",
""""
),
""""
)"),"Yes")</f>
        <v>Yes</v>
      </c>
      <c r="E175" s="22" t="str">
        <f>IFERROR(__xludf.DUMMYFUNCTION("IFNA(
IF(
VLOOKUP(C175,IMPORTRANGE(""https://docs.google.com/spreadsheets/d/1rG8iy-kKSFDxhVaU60GJ2bpXc8tZqI1bT8U0Ac0DWTU/edit?usp=sharing"",""REGISTRATION!C:AB""),26,FALSE)
=""No"",
""No Candy"",
""""
),
""""
)"),"")</f>
        <v/>
      </c>
      <c r="F175" s="21" t="str">
        <f>IFERROR(__xludf.DUMMYFUNCTION("IFNA(VLOOKUP(C175,IMPORTRANGE(""https://docs.google.com/spreadsheets/d/1rG8iy-kKSFDxhVaU60GJ2bpXc8tZqI1bT8U0Ac0DWTU/edit?usp=sharing"",""REGISTRATION!C:V""),18,FALSE),"""")"),"None")</f>
        <v>None</v>
      </c>
      <c r="G175" s="21" t="str">
        <f>IFERROR(__xludf.DUMMYFUNCTION("IFNA(VLOOKUP(C175,IMPORTRANGE(""https://docs.google.com/spreadsheets/d/1rG8iy-kKSFDxhVaU60GJ2bpXc8tZqI1bT8U0Ac0DWTU/edit?usp=sharing"",""REGISTRATION!C:V""),20,FALSE),"""")"),"")</f>
        <v/>
      </c>
      <c r="H175" s="21" t="str">
        <f>IFERROR(__xludf.DUMMYFUNCTION("IFNA(VLOOKUP(C175,IMPORTRANGE(""https://docs.google.com/spreadsheets/d/1rG8iy-kKSFDxhVaU60GJ2bpXc8tZqI1bT8U0Ac0DWTU/edit?usp=sharing"",""REGISTRATION!C:V""),19,FALSE),"""")"),"None")</f>
        <v>None</v>
      </c>
    </row>
    <row r="176">
      <c r="C176" s="57"/>
      <c r="D176" s="23" t="str">
        <f>IFERROR(__xludf.DUMMYFUNCTION("IFNA(
IF(
VLOOKUP(C176,IMPORTRANGE(""https://docs.google.com/spreadsheets/d/1rG8iy-kKSFDxhVaU60GJ2bpXc8tZqI1bT8U0Ac0DWTU/edit?usp=sharing"",""REGISTRATION!C:X""),22,FALSE)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76" s="22" t="str">
        <f>IFERROR(__xludf.DUMMYFUNCTION("IFNA(
IF(
VLOOKUP(C176,IMPORTRANGE(""https://docs.google.com/spreadsheets/d/1rG8iy-kKSFDxhVaU60GJ2bpXc8tZqI1bT8U0Ac0DWTU/edit?usp=sharing"",""REGISTRATION!C:AB""),26,FALSE)
=""No"",
""No Candy"",
""""
),
""""
)"),"")</f>
        <v/>
      </c>
      <c r="F176" s="21" t="str">
        <f>IFERROR(__xludf.DUMMYFUNCTION("IFNA(VLOOKUP(C176,IMPORTRANGE(""https://docs.google.com/spreadsheets/d/1rG8iy-kKSFDxhVaU60GJ2bpXc8tZqI1bT8U0Ac0DWTU/edit?usp=sharing"",""REGISTRATION!C:V""),18,FALSE),"""")"),"")</f>
        <v/>
      </c>
      <c r="G176" s="21" t="str">
        <f>IFERROR(__xludf.DUMMYFUNCTION("IFNA(VLOOKUP(C176,IMPORTRANGE(""https://docs.google.com/spreadsheets/d/1rG8iy-kKSFDxhVaU60GJ2bpXc8tZqI1bT8U0Ac0DWTU/edit?usp=sharing"",""REGISTRATION!C:V""),20,FALSE),"""")"),"")</f>
        <v/>
      </c>
      <c r="H176" s="21" t="str">
        <f>IFERROR(__xludf.DUMMYFUNCTION("IFNA(VLOOKUP(C176,IMPORTRANGE(""https://docs.google.com/spreadsheets/d/1rG8iy-kKSFDxhVaU60GJ2bpXc8tZqI1bT8U0Ac0DWTU/edit?usp=sharing"",""REGISTRATION!C:V""),19,FALSE),"""")"),"")</f>
        <v/>
      </c>
    </row>
    <row r="177">
      <c r="C177" s="58"/>
      <c r="D177" s="21" t="str">
        <f>IFERROR(__xludf.DUMMYFUNCTION("IFNA(
IF(
VLOOKUP(C177,IMPORTRANGE(""https://docs.google.com/spreadsheets/d/1rG8iy-kKSFDxhVaU60GJ2bpXc8tZqI1bT8U0Ac0DWTU/edit?usp=sharing"",""REGISTRATION!C:X""),22,FALSE)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77" s="22" t="str">
        <f>IFERROR(__xludf.DUMMYFUNCTION("IFNA(
IF(
VLOOKUP(C177,IMPORTRANGE(""https://docs.google.com/spreadsheets/d/1rG8iy-kKSFDxhVaU60GJ2bpXc8tZqI1bT8U0Ac0DWTU/edit?usp=sharing"",""REGISTRATION!C:AB""),26,FALSE)
=""No"",
""No Candy"",
""""
),
""""
)"),"")</f>
        <v/>
      </c>
      <c r="F177" s="21" t="str">
        <f>IFERROR(__xludf.DUMMYFUNCTION("IFNA(VLOOKUP(C177,IMPORTRANGE(""https://docs.google.com/spreadsheets/d/1rG8iy-kKSFDxhVaU60GJ2bpXc8tZqI1bT8U0Ac0DWTU/edit?usp=sharing"",""REGISTRATION!C:V""),18,FALSE),"""")"),"")</f>
        <v/>
      </c>
      <c r="G177" s="21" t="str">
        <f>IFERROR(__xludf.DUMMYFUNCTION("IFNA(VLOOKUP(C177,IMPORTRANGE(""https://docs.google.com/spreadsheets/d/1rG8iy-kKSFDxhVaU60GJ2bpXc8tZqI1bT8U0Ac0DWTU/edit?usp=sharing"",""REGISTRATION!C:V""),20,FALSE),"""")"),"")</f>
        <v/>
      </c>
      <c r="H177" s="21" t="str">
        <f>IFERROR(__xludf.DUMMYFUNCTION("IFNA(VLOOKUP(C177,IMPORTRANGE(""https://docs.google.com/spreadsheets/d/1rG8iy-kKSFDxhVaU60GJ2bpXc8tZqI1bT8U0Ac0DWTU/edit?usp=sharing"",""REGISTRATION!C:V""),19,FALSE),"""")"),"")</f>
        <v/>
      </c>
    </row>
    <row r="178">
      <c r="C178" s="58"/>
      <c r="D178" s="21" t="str">
        <f>IFERROR(__xludf.DUMMYFUNCTION("IFNA(
IF(
VLOOKUP(C178,IMPORTRANGE(""https://docs.google.com/spreadsheets/d/1rG8iy-kKSFDxhVaU60GJ2bpXc8tZqI1bT8U0Ac0DWTU/edit?usp=sharing"",""REGISTRATION!C:X""),22,FALSE)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78" s="22" t="str">
        <f>IFERROR(__xludf.DUMMYFUNCTION("IFNA(
IF(
VLOOKUP(C178,IMPORTRANGE(""https://docs.google.com/spreadsheets/d/1rG8iy-kKSFDxhVaU60GJ2bpXc8tZqI1bT8U0Ac0DWTU/edit?usp=sharing"",""REGISTRATION!C:AB""),26,FALSE)
=""No"",
""No Candy"",
""""
),
""""
)"),"")</f>
        <v/>
      </c>
      <c r="F178" s="21" t="str">
        <f>IFERROR(__xludf.DUMMYFUNCTION("IFNA(VLOOKUP(C178,IMPORTRANGE(""https://docs.google.com/spreadsheets/d/1rG8iy-kKSFDxhVaU60GJ2bpXc8tZqI1bT8U0Ac0DWTU/edit?usp=sharing"",""REGISTRATION!C:V""),18,FALSE),"""")"),"")</f>
        <v/>
      </c>
      <c r="G178" s="21" t="str">
        <f>IFERROR(__xludf.DUMMYFUNCTION("IFNA(VLOOKUP(C178,IMPORTRANGE(""https://docs.google.com/spreadsheets/d/1rG8iy-kKSFDxhVaU60GJ2bpXc8tZqI1bT8U0Ac0DWTU/edit?usp=sharing"",""REGISTRATION!C:V""),20,FALSE),"""")"),"")</f>
        <v/>
      </c>
      <c r="H178" s="21" t="str">
        <f>IFERROR(__xludf.DUMMYFUNCTION("IFNA(VLOOKUP(C178,IMPORTRANGE(""https://docs.google.com/spreadsheets/d/1rG8iy-kKSFDxhVaU60GJ2bpXc8tZqI1bT8U0Ac0DWTU/edit?usp=sharing"",""REGISTRATION!C:V""),19,FALSE),"""")"),"")</f>
        <v/>
      </c>
    </row>
    <row r="179">
      <c r="C179" s="20"/>
      <c r="D179" s="21" t="str">
        <f>IFERROR(__xludf.DUMMYFUNCTION("IFNA(
IF(
VLOOKUP(C179,IMPORTRANGE(""https://docs.google.com/spreadsheets/d/1rG8iy-kKSFDxhVaU60GJ2bpXc8tZqI1bT8U0Ac0DWTU/edit?usp=sharing"",""REGISTRATION!C:X""),22,FALSE)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79" s="22" t="str">
        <f>IFERROR(__xludf.DUMMYFUNCTION("IFNA(
IF(
VLOOKUP(C179,IMPORTRANGE(""https://docs.google.com/spreadsheets/d/1rG8iy-kKSFDxhVaU60GJ2bpXc8tZqI1bT8U0Ac0DWTU/edit?usp=sharing"",""REGISTRATION!C:AB""),26,FALSE)
=""No"",
""No Candy"",
""""
),
""""
)"),"")</f>
        <v/>
      </c>
      <c r="F179" s="21" t="str">
        <f>IFERROR(__xludf.DUMMYFUNCTION("IFNA(VLOOKUP(C179,IMPORTRANGE(""https://docs.google.com/spreadsheets/d/1rG8iy-kKSFDxhVaU60GJ2bpXc8tZqI1bT8U0Ac0DWTU/edit?usp=sharing"",""REGISTRATION!C:V""),18,FALSE),"""")"),"")</f>
        <v/>
      </c>
      <c r="G179" s="21" t="str">
        <f>IFERROR(__xludf.DUMMYFUNCTION("IFNA(VLOOKUP(C179,IMPORTRANGE(""https://docs.google.com/spreadsheets/d/1rG8iy-kKSFDxhVaU60GJ2bpXc8tZqI1bT8U0Ac0DWTU/edit?usp=sharing"",""REGISTRATION!C:V""),20,FALSE),"""")"),"")</f>
        <v/>
      </c>
      <c r="H179" s="21" t="str">
        <f>IFERROR(__xludf.DUMMYFUNCTION("IFNA(VLOOKUP(C179,IMPORTRANGE(""https://docs.google.com/spreadsheets/d/1rG8iy-kKSFDxhVaU60GJ2bpXc8tZqI1bT8U0Ac0DWTU/edit?usp=sharing"",""REGISTRATION!C:V""),19,FALSE),"""")"),"")</f>
        <v/>
      </c>
    </row>
    <row r="180">
      <c r="C180" s="20"/>
      <c r="D180" s="21" t="str">
        <f>IFERROR(__xludf.DUMMYFUNCTION("IFNA(
IF(
VLOOKUP(C180,IMPORTRANGE(""https://docs.google.com/spreadsheets/d/1rG8iy-kKSFDxhVaU60GJ2bpXc8tZqI1bT8U0Ac0DWTU/edit?usp=sharing"",""REGISTRATION!C:X""),22,FALSE)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80" s="22" t="str">
        <f>IFERROR(__xludf.DUMMYFUNCTION("IFNA(
IF(
VLOOKUP(C180,IMPORTRANGE(""https://docs.google.com/spreadsheets/d/1rG8iy-kKSFDxhVaU60GJ2bpXc8tZqI1bT8U0Ac0DWTU/edit?usp=sharing"",""REGISTRATION!C:AB""),26,FALSE)
=""No"",
""No Candy"",
""""
),
""""
)"),"")</f>
        <v/>
      </c>
      <c r="F180" s="21" t="str">
        <f>IFERROR(__xludf.DUMMYFUNCTION("IFNA(VLOOKUP(C180,IMPORTRANGE(""https://docs.google.com/spreadsheets/d/1rG8iy-kKSFDxhVaU60GJ2bpXc8tZqI1bT8U0Ac0DWTU/edit?usp=sharing"",""REGISTRATION!C:V""),18,FALSE),"""")"),"")</f>
        <v/>
      </c>
      <c r="G180" s="21" t="str">
        <f>IFERROR(__xludf.DUMMYFUNCTION("IFNA(VLOOKUP(C180,IMPORTRANGE(""https://docs.google.com/spreadsheets/d/1rG8iy-kKSFDxhVaU60GJ2bpXc8tZqI1bT8U0Ac0DWTU/edit?usp=sharing"",""REGISTRATION!C:V""),20,FALSE),"""")"),"")</f>
        <v/>
      </c>
      <c r="H180" s="21" t="str">
        <f>IFERROR(__xludf.DUMMYFUNCTION("IFNA(VLOOKUP(C180,IMPORTRANGE(""https://docs.google.com/spreadsheets/d/1rG8iy-kKSFDxhVaU60GJ2bpXc8tZqI1bT8U0Ac0DWTU/edit?usp=sharing"",""REGISTRATION!C:V""),19,FALSE),"""")"),"")</f>
        <v/>
      </c>
    </row>
    <row r="181">
      <c r="C181" s="20"/>
      <c r="D181" s="21" t="str">
        <f>IFERROR(__xludf.DUMMYFUNCTION("IFNA(
IF(
VLOOKUP(C181,IMPORTRANGE(""https://docs.google.com/spreadsheets/d/1rG8iy-kKSFDxhVaU60GJ2bpXc8tZqI1bT8U0Ac0DWTU/edit?usp=sharing"",""REGISTRATION!C:X""),22,FALSE)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81" s="22" t="str">
        <f>IFERROR(__xludf.DUMMYFUNCTION("IFNA(
IF(
VLOOKUP(C181,IMPORTRANGE(""https://docs.google.com/spreadsheets/d/1rG8iy-kKSFDxhVaU60GJ2bpXc8tZqI1bT8U0Ac0DWTU/edit?usp=sharing"",""REGISTRATION!C:AB""),26,FALSE)
=""No"",
""No Candy"",
""""
),
""""
)"),"")</f>
        <v/>
      </c>
      <c r="F181" s="21" t="str">
        <f>IFERROR(__xludf.DUMMYFUNCTION("IFNA(VLOOKUP(C181,IMPORTRANGE(""https://docs.google.com/spreadsheets/d/1rG8iy-kKSFDxhVaU60GJ2bpXc8tZqI1bT8U0Ac0DWTU/edit?usp=sharing"",""REGISTRATION!C:V""),18,FALSE),"""")"),"")</f>
        <v/>
      </c>
      <c r="G181" s="21" t="str">
        <f>IFERROR(__xludf.DUMMYFUNCTION("IFNA(VLOOKUP(C181,IMPORTRANGE(""https://docs.google.com/spreadsheets/d/1rG8iy-kKSFDxhVaU60GJ2bpXc8tZqI1bT8U0Ac0DWTU/edit?usp=sharing"",""REGISTRATION!C:V""),20,FALSE),"""")"),"")</f>
        <v/>
      </c>
      <c r="H181" s="21" t="str">
        <f>IFERROR(__xludf.DUMMYFUNCTION("IFNA(VLOOKUP(C181,IMPORTRANGE(""https://docs.google.com/spreadsheets/d/1rG8iy-kKSFDxhVaU60GJ2bpXc8tZqI1bT8U0Ac0DWTU/edit?usp=sharing"",""REGISTRATION!C:V""),19,FALSE),"""")"),"")</f>
        <v/>
      </c>
    </row>
    <row r="182">
      <c r="C182" s="20"/>
      <c r="D182" s="21" t="str">
        <f>IFERROR(__xludf.DUMMYFUNCTION("IFNA(
IF(
VLOOKUP(C182,IMPORTRANGE(""https://docs.google.com/spreadsheets/d/1rG8iy-kKSFDxhVaU60GJ2bpXc8tZqI1bT8U0Ac0DWTU/edit?usp=sharing"",""REGISTRATION!C:X""),22,FALSE)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82" s="22" t="str">
        <f>IFERROR(__xludf.DUMMYFUNCTION("IFNA(
IF(
VLOOKUP(C182,IMPORTRANGE(""https://docs.google.com/spreadsheets/d/1rG8iy-kKSFDxhVaU60GJ2bpXc8tZqI1bT8U0Ac0DWTU/edit?usp=sharing"",""REGISTRATION!C:AB""),26,FALSE)
=""No"",
""No Candy"",
""""
),
""""
)"),"")</f>
        <v/>
      </c>
      <c r="F182" s="21" t="str">
        <f>IFERROR(__xludf.DUMMYFUNCTION("IFNA(VLOOKUP(C182,IMPORTRANGE(""https://docs.google.com/spreadsheets/d/1rG8iy-kKSFDxhVaU60GJ2bpXc8tZqI1bT8U0Ac0DWTU/edit?usp=sharing"",""REGISTRATION!C:V""),18,FALSE),"""")"),"")</f>
        <v/>
      </c>
      <c r="G182" s="21" t="str">
        <f>IFERROR(__xludf.DUMMYFUNCTION("IFNA(VLOOKUP(C182,IMPORTRANGE(""https://docs.google.com/spreadsheets/d/1rG8iy-kKSFDxhVaU60GJ2bpXc8tZqI1bT8U0Ac0DWTU/edit?usp=sharing"",""REGISTRATION!C:V""),20,FALSE),"""")"),"")</f>
        <v/>
      </c>
      <c r="H182" s="21" t="str">
        <f>IFERROR(__xludf.DUMMYFUNCTION("IFNA(VLOOKUP(C182,IMPORTRANGE(""https://docs.google.com/spreadsheets/d/1rG8iy-kKSFDxhVaU60GJ2bpXc8tZqI1bT8U0Ac0DWTU/edit?usp=sharing"",""REGISTRATION!C:V""),19,FALSE),"""")"),"")</f>
        <v/>
      </c>
    </row>
    <row r="183">
      <c r="C183" s="20"/>
      <c r="D183" s="21" t="str">
        <f>IFERROR(__xludf.DUMMYFUNCTION("IFNA(
IF(
VLOOKUP(C183,IMPORTRANGE(""https://docs.google.com/spreadsheets/d/1rG8iy-kKSFDxhVaU60GJ2bpXc8tZqI1bT8U0Ac0DWTU/edit?usp=sharing"",""REGISTRATION!C:X""),22,FALSE)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83" s="22" t="str">
        <f>IFERROR(__xludf.DUMMYFUNCTION("IFNA(
IF(
VLOOKUP(C183,IMPORTRANGE(""https://docs.google.com/spreadsheets/d/1rG8iy-kKSFDxhVaU60GJ2bpXc8tZqI1bT8U0Ac0DWTU/edit?usp=sharing"",""REGISTRATION!C:AB""),26,FALSE)
=""No"",
""No Candy"",
""""
),
""""
)"),"")</f>
        <v/>
      </c>
      <c r="F183" s="21" t="str">
        <f>IFERROR(__xludf.DUMMYFUNCTION("IFNA(VLOOKUP(C183,IMPORTRANGE(""https://docs.google.com/spreadsheets/d/1rG8iy-kKSFDxhVaU60GJ2bpXc8tZqI1bT8U0Ac0DWTU/edit?usp=sharing"",""REGISTRATION!C:V""),18,FALSE),"""")"),"")</f>
        <v/>
      </c>
      <c r="G183" s="21" t="str">
        <f>IFERROR(__xludf.DUMMYFUNCTION("IFNA(VLOOKUP(C183,IMPORTRANGE(""https://docs.google.com/spreadsheets/d/1rG8iy-kKSFDxhVaU60GJ2bpXc8tZqI1bT8U0Ac0DWTU/edit?usp=sharing"",""REGISTRATION!C:V""),20,FALSE),"""")"),"")</f>
        <v/>
      </c>
      <c r="H183" s="21" t="str">
        <f>IFERROR(__xludf.DUMMYFUNCTION("IFNA(VLOOKUP(C183,IMPORTRANGE(""https://docs.google.com/spreadsheets/d/1rG8iy-kKSFDxhVaU60GJ2bpXc8tZqI1bT8U0Ac0DWTU/edit?usp=sharing"",""REGISTRATION!C:V""),19,FALSE),"""")"),"")</f>
        <v/>
      </c>
    </row>
    <row r="184">
      <c r="A184" s="30" t="s">
        <v>175</v>
      </c>
      <c r="B184" s="30" t="s">
        <v>176</v>
      </c>
      <c r="C184" s="31" t="s">
        <v>177</v>
      </c>
      <c r="D184" s="32" t="str">
        <f>IFERROR(__xludf.DUMMYFUNCTION("IFNA(
IF(
VLOOKUP(C184,IMPORTRANGE(""https://docs.google.com/spreadsheets/d/1rG8iy-kKSFDxhVaU60GJ2bpXc8tZqI1bT8U0Ac0DWTU/edit?usp=sharing"",""REGISTRATION!C:X""),22,FALSE)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84" s="33" t="str">
        <f>IFERROR(__xludf.DUMMYFUNCTION("IFNA(
IF(
VLOOKUP(C184,IMPORTRANGE(""https://docs.google.com/spreadsheets/d/1rG8iy-kKSFDxhVaU60GJ2bpXc8tZqI1bT8U0Ac0DWTU/edit?usp=sharing"",""REGISTRATION!C:AB""),26,FALSE)
=""No"",
""No Candy"",
""""
),
""""
)"),"")</f>
        <v/>
      </c>
      <c r="F184" s="32" t="str">
        <f>IFERROR(__xludf.DUMMYFUNCTION("IFNA(VLOOKUP(C184,IMPORTRANGE(""https://docs.google.com/spreadsheets/d/1rG8iy-kKSFDxhVaU60GJ2bpXc8tZqI1bT8U0Ac0DWTU/edit?usp=sharing"",""REGISTRATION!C:V""),18,FALSE),"""")"),"None")</f>
        <v>None</v>
      </c>
      <c r="G184" s="32" t="str">
        <f>IFERROR(__xludf.DUMMYFUNCTION("IFNA(VLOOKUP(C184,IMPORTRANGE(""https://docs.google.com/spreadsheets/d/1rG8iy-kKSFDxhVaU60GJ2bpXc8tZqI1bT8U0Ac0DWTU/edit?usp=sharing"",""REGISTRATION!C:V""),20,FALSE),"""")"),"")</f>
        <v/>
      </c>
      <c r="H184" s="32" t="str">
        <f>IFERROR(__xludf.DUMMYFUNCTION("IFNA(VLOOKUP(C184,IMPORTRANGE(""https://docs.google.com/spreadsheets/d/1rG8iy-kKSFDxhVaU60GJ2bpXc8tZqI1bT8U0Ac0DWTU/edit?usp=sharing"",""REGISTRATION!C:V""),19,FALSE),"""")"),"None")</f>
        <v>None</v>
      </c>
    </row>
    <row r="185">
      <c r="C185" s="31" t="s">
        <v>178</v>
      </c>
      <c r="D185" s="49" t="str">
        <f>IFERROR(__xludf.DUMMYFUNCTION("IFNA(
IF(
VLOOKUP(C185,IMPORTRANGE(""https://docs.google.com/spreadsheets/d/1rG8iy-kKSFDxhVaU60GJ2bpXc8tZqI1bT8U0Ac0DWTU/edit?usp=sharing"",""REGISTRATION!C:X""),22,FALSE)
=""I qualify for Free and Reduced Lunch and WOULD like lunch to be provided for my "&amp;"child."",
""Yes"",
""""
),
""""
)"),"Yes")</f>
        <v>Yes</v>
      </c>
      <c r="E185" s="33" t="str">
        <f>IFERROR(__xludf.DUMMYFUNCTION("IFNA(
IF(
VLOOKUP(C185,IMPORTRANGE(""https://docs.google.com/spreadsheets/d/1rG8iy-kKSFDxhVaU60GJ2bpXc8tZqI1bT8U0Ac0DWTU/edit?usp=sharing"",""REGISTRATION!C:AB""),26,FALSE)
=""No"",
""No Candy"",
""""
),
""""
)"),"")</f>
        <v/>
      </c>
      <c r="F185" s="32" t="str">
        <f>IFERROR(__xludf.DUMMYFUNCTION("IFNA(VLOOKUP(C185,IMPORTRANGE(""https://docs.google.com/spreadsheets/d/1rG8iy-kKSFDxhVaU60GJ2bpXc8tZqI1bT8U0Ac0DWTU/edit?usp=sharing"",""REGISTRATION!C:V""),18,FALSE),"""")"),"None")</f>
        <v>None</v>
      </c>
      <c r="G185" s="32" t="str">
        <f>IFERROR(__xludf.DUMMYFUNCTION("IFNA(VLOOKUP(C185,IMPORTRANGE(""https://docs.google.com/spreadsheets/d/1rG8iy-kKSFDxhVaU60GJ2bpXc8tZqI1bT8U0Ac0DWTU/edit?usp=sharing"",""REGISTRATION!C:V""),20,FALSE),"""")"),"")</f>
        <v/>
      </c>
      <c r="H185" s="32" t="str">
        <f>IFERROR(__xludf.DUMMYFUNCTION("IFNA(VLOOKUP(C185,IMPORTRANGE(""https://docs.google.com/spreadsheets/d/1rG8iy-kKSFDxhVaU60GJ2bpXc8tZqI1bT8U0Ac0DWTU/edit?usp=sharing"",""REGISTRATION!C:V""),19,FALSE),"""")"),"None")</f>
        <v>None</v>
      </c>
    </row>
    <row r="186">
      <c r="C186" s="31" t="s">
        <v>179</v>
      </c>
      <c r="D186" s="32" t="str">
        <f>IFERROR(__xludf.DUMMYFUNCTION("IFNA(
IF(
VLOOKUP(C186,IMPORTRANGE(""https://docs.google.com/spreadsheets/d/1rG8iy-kKSFDxhVaU60GJ2bpXc8tZqI1bT8U0Ac0DWTU/edit?usp=sharing"",""REGISTRATION!C:X""),22,FALSE)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86" s="33" t="str">
        <f>IFERROR(__xludf.DUMMYFUNCTION("IFNA(
IF(
VLOOKUP(C186,IMPORTRANGE(""https://docs.google.com/spreadsheets/d/1rG8iy-kKSFDxhVaU60GJ2bpXc8tZqI1bT8U0Ac0DWTU/edit?usp=sharing"",""REGISTRATION!C:AB""),26,FALSE)
=""No"",
""No Candy"",
""""
),
""""
)"),"")</f>
        <v/>
      </c>
      <c r="F186" s="32" t="str">
        <f>IFERROR(__xludf.DUMMYFUNCTION("IFNA(VLOOKUP(C186,IMPORTRANGE(""https://docs.google.com/spreadsheets/d/1rG8iy-kKSFDxhVaU60GJ2bpXc8tZqI1bT8U0Ac0DWTU/edit?usp=sharing"",""REGISTRATION!C:V""),18,FALSE),"""")"),"None")</f>
        <v>None</v>
      </c>
      <c r="G186" s="32" t="str">
        <f>IFERROR(__xludf.DUMMYFUNCTION("IFNA(VLOOKUP(C186,IMPORTRANGE(""https://docs.google.com/spreadsheets/d/1rG8iy-kKSFDxhVaU60GJ2bpXc8tZqI1bT8U0Ac0DWTU/edit?usp=sharing"",""REGISTRATION!C:V""),20,FALSE),"""")"),"")</f>
        <v/>
      </c>
      <c r="H186" s="49" t="str">
        <f>IFERROR(__xludf.DUMMYFUNCTION("IFNA(VLOOKUP(C186,IMPORTRANGE(""https://docs.google.com/spreadsheets/d/1rG8iy-kKSFDxhVaU60GJ2bpXc8tZqI1bT8U0Ac0DWTU/edit?usp=sharing"",""REGISTRATION!C:V""),19,FALSE),"""")"),"Adhd")</f>
        <v>Adhd</v>
      </c>
    </row>
    <row r="187">
      <c r="C187" s="31" t="s">
        <v>180</v>
      </c>
      <c r="D187" s="32" t="str">
        <f>IFERROR(__xludf.DUMMYFUNCTION("IFNA(
IF(
VLOOKUP(C187,IMPORTRANGE(""https://docs.google.com/spreadsheets/d/1rG8iy-kKSFDxhVaU60GJ2bpXc8tZqI1bT8U0Ac0DWTU/edit?usp=sharing"",""REGISTRATION!C:X""),22,FALSE)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87" s="33" t="str">
        <f>IFERROR(__xludf.DUMMYFUNCTION("IFNA(
IF(
VLOOKUP(C187,IMPORTRANGE(""https://docs.google.com/spreadsheets/d/1rG8iy-kKSFDxhVaU60GJ2bpXc8tZqI1bT8U0Ac0DWTU/edit?usp=sharing"",""REGISTRATION!C:AB""),26,FALSE)
=""No"",
""No Candy"",
""""
),
""""
)"),"")</f>
        <v/>
      </c>
      <c r="F187" s="32" t="str">
        <f>IFERROR(__xludf.DUMMYFUNCTION("IFNA(VLOOKUP(C187,IMPORTRANGE(""https://docs.google.com/spreadsheets/d/1rG8iy-kKSFDxhVaU60GJ2bpXc8tZqI1bT8U0Ac0DWTU/edit?usp=sharing"",""REGISTRATION!C:V""),18,FALSE),"""")"),"None")</f>
        <v>None</v>
      </c>
      <c r="G187" s="32" t="str">
        <f>IFERROR(__xludf.DUMMYFUNCTION("IFNA(VLOOKUP(C187,IMPORTRANGE(""https://docs.google.com/spreadsheets/d/1rG8iy-kKSFDxhVaU60GJ2bpXc8tZqI1bT8U0Ac0DWTU/edit?usp=sharing"",""REGISTRATION!C:V""),20,FALSE),"""")"),"")</f>
        <v/>
      </c>
      <c r="H187" s="32" t="str">
        <f>IFERROR(__xludf.DUMMYFUNCTION("IFNA(VLOOKUP(C187,IMPORTRANGE(""https://docs.google.com/spreadsheets/d/1rG8iy-kKSFDxhVaU60GJ2bpXc8tZqI1bT8U0Ac0DWTU/edit?usp=sharing"",""REGISTRATION!C:V""),19,FALSE),"""")"),"None")</f>
        <v>None</v>
      </c>
    </row>
    <row r="188">
      <c r="C188" s="31"/>
      <c r="D188" s="32" t="str">
        <f>IFERROR(__xludf.DUMMYFUNCTION("IFNA(
IF(
VLOOKUP(C188,IMPORTRANGE(""https://docs.google.com/spreadsheets/d/1rG8iy-kKSFDxhVaU60GJ2bpXc8tZqI1bT8U0Ac0DWTU/edit?usp=sharing"",""REGISTRATION!C:X""),22,FALSE)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88" s="33" t="str">
        <f>IFERROR(__xludf.DUMMYFUNCTION("IFNA(
IF(
VLOOKUP(C188,IMPORTRANGE(""https://docs.google.com/spreadsheets/d/1rG8iy-kKSFDxhVaU60GJ2bpXc8tZqI1bT8U0Ac0DWTU/edit?usp=sharing"",""REGISTRATION!C:AB""),26,FALSE)
=""No"",
""No Candy"",
""""
),
""""
)"),"")</f>
        <v/>
      </c>
      <c r="F188" s="32" t="str">
        <f>IFERROR(__xludf.DUMMYFUNCTION("IFNA(VLOOKUP(C188,IMPORTRANGE(""https://docs.google.com/spreadsheets/d/1rG8iy-kKSFDxhVaU60GJ2bpXc8tZqI1bT8U0Ac0DWTU/edit?usp=sharing"",""REGISTRATION!C:V""),18,FALSE),"""")"),"")</f>
        <v/>
      </c>
      <c r="G188" s="32" t="str">
        <f>IFERROR(__xludf.DUMMYFUNCTION("IFNA(VLOOKUP(C188,IMPORTRANGE(""https://docs.google.com/spreadsheets/d/1rG8iy-kKSFDxhVaU60GJ2bpXc8tZqI1bT8U0Ac0DWTU/edit?usp=sharing"",""REGISTRATION!C:V""),20,FALSE),"""")"),"")</f>
        <v/>
      </c>
      <c r="H188" s="32" t="str">
        <f>IFERROR(__xludf.DUMMYFUNCTION("IFNA(VLOOKUP(C188,IMPORTRANGE(""https://docs.google.com/spreadsheets/d/1rG8iy-kKSFDxhVaU60GJ2bpXc8tZqI1bT8U0Ac0DWTU/edit?usp=sharing"",""REGISTRATION!C:V""),19,FALSE),"""")"),"")</f>
        <v/>
      </c>
    </row>
    <row r="189">
      <c r="C189" s="31"/>
      <c r="D189" s="32" t="str">
        <f>IFERROR(__xludf.DUMMYFUNCTION("IFNA(
IF(
VLOOKUP(C189,IMPORTRANGE(""https://docs.google.com/spreadsheets/d/1rG8iy-kKSFDxhVaU60GJ2bpXc8tZqI1bT8U0Ac0DWTU/edit?usp=sharing"",""REGISTRATION!C:X""),22,FALSE)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89" s="33" t="str">
        <f>IFERROR(__xludf.DUMMYFUNCTION("IFNA(
IF(
VLOOKUP(C189,IMPORTRANGE(""https://docs.google.com/spreadsheets/d/1rG8iy-kKSFDxhVaU60GJ2bpXc8tZqI1bT8U0Ac0DWTU/edit?usp=sharing"",""REGISTRATION!C:AB""),26,FALSE)
=""No"",
""No Candy"",
""""
),
""""
)"),"")</f>
        <v/>
      </c>
      <c r="F189" s="32" t="str">
        <f>IFERROR(__xludf.DUMMYFUNCTION("IFNA(VLOOKUP(C189,IMPORTRANGE(""https://docs.google.com/spreadsheets/d/1rG8iy-kKSFDxhVaU60GJ2bpXc8tZqI1bT8U0Ac0DWTU/edit?usp=sharing"",""REGISTRATION!C:V""),18,FALSE),"""")"),"")</f>
        <v/>
      </c>
      <c r="G189" s="32" t="str">
        <f>IFERROR(__xludf.DUMMYFUNCTION("IFNA(VLOOKUP(C189,IMPORTRANGE(""https://docs.google.com/spreadsheets/d/1rG8iy-kKSFDxhVaU60GJ2bpXc8tZqI1bT8U0Ac0DWTU/edit?usp=sharing"",""REGISTRATION!C:V""),20,FALSE),"""")"),"")</f>
        <v/>
      </c>
      <c r="H189" s="32" t="str">
        <f>IFERROR(__xludf.DUMMYFUNCTION("IFNA(VLOOKUP(C189,IMPORTRANGE(""https://docs.google.com/spreadsheets/d/1rG8iy-kKSFDxhVaU60GJ2bpXc8tZqI1bT8U0Ac0DWTU/edit?usp=sharing"",""REGISTRATION!C:V""),19,FALSE),"""")"),"")</f>
        <v/>
      </c>
    </row>
    <row r="190">
      <c r="C190" s="31"/>
      <c r="D190" s="32" t="str">
        <f>IFERROR(__xludf.DUMMYFUNCTION("IFNA(
IF(
VLOOKUP(C190,IMPORTRANGE(""https://docs.google.com/spreadsheets/d/1rG8iy-kKSFDxhVaU60GJ2bpXc8tZqI1bT8U0Ac0DWTU/edit?usp=sharing"",""REGISTRATION!C:X""),22,FALSE)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90" s="33" t="str">
        <f>IFERROR(__xludf.DUMMYFUNCTION("IFNA(
IF(
VLOOKUP(C190,IMPORTRANGE(""https://docs.google.com/spreadsheets/d/1rG8iy-kKSFDxhVaU60GJ2bpXc8tZqI1bT8U0Ac0DWTU/edit?usp=sharing"",""REGISTRATION!C:AB""),26,FALSE)
=""No"",
""No Candy"",
""""
),
""""
)"),"")</f>
        <v/>
      </c>
      <c r="F190" s="32" t="str">
        <f>IFERROR(__xludf.DUMMYFUNCTION("IFNA(VLOOKUP(C190,IMPORTRANGE(""https://docs.google.com/spreadsheets/d/1rG8iy-kKSFDxhVaU60GJ2bpXc8tZqI1bT8U0Ac0DWTU/edit?usp=sharing"",""REGISTRATION!C:V""),18,FALSE),"""")"),"")</f>
        <v/>
      </c>
      <c r="G190" s="32" t="str">
        <f>IFERROR(__xludf.DUMMYFUNCTION("IFNA(VLOOKUP(C190,IMPORTRANGE(""https://docs.google.com/spreadsheets/d/1rG8iy-kKSFDxhVaU60GJ2bpXc8tZqI1bT8U0Ac0DWTU/edit?usp=sharing"",""REGISTRATION!C:V""),20,FALSE),"""")"),"")</f>
        <v/>
      </c>
      <c r="H190" s="32" t="str">
        <f>IFERROR(__xludf.DUMMYFUNCTION("IFNA(VLOOKUP(C190,IMPORTRANGE(""https://docs.google.com/spreadsheets/d/1rG8iy-kKSFDxhVaU60GJ2bpXc8tZqI1bT8U0Ac0DWTU/edit?usp=sharing"",""REGISTRATION!C:V""),19,FALSE),"""")"),"")</f>
        <v/>
      </c>
    </row>
    <row r="191">
      <c r="C191" s="31"/>
      <c r="D191" s="32" t="str">
        <f>IFERROR(__xludf.DUMMYFUNCTION("IFNA(
IF(
VLOOKUP(C191,IMPORTRANGE(""https://docs.google.com/spreadsheets/d/1rG8iy-kKSFDxhVaU60GJ2bpXc8tZqI1bT8U0Ac0DWTU/edit?usp=sharing"",""REGISTRATION!C:X""),22,FALSE)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91" s="33" t="str">
        <f>IFERROR(__xludf.DUMMYFUNCTION("IFNA(
IF(
VLOOKUP(C191,IMPORTRANGE(""https://docs.google.com/spreadsheets/d/1rG8iy-kKSFDxhVaU60GJ2bpXc8tZqI1bT8U0Ac0DWTU/edit?usp=sharing"",""REGISTRATION!C:AB""),26,FALSE)
=""No"",
""No Candy"",
""""
),
""""
)"),"")</f>
        <v/>
      </c>
      <c r="F191" s="32" t="str">
        <f>IFERROR(__xludf.DUMMYFUNCTION("IFNA(VLOOKUP(C191,IMPORTRANGE(""https://docs.google.com/spreadsheets/d/1rG8iy-kKSFDxhVaU60GJ2bpXc8tZqI1bT8U0Ac0DWTU/edit?usp=sharing"",""REGISTRATION!C:V""),18,FALSE),"""")"),"")</f>
        <v/>
      </c>
      <c r="G191" s="32" t="str">
        <f>IFERROR(__xludf.DUMMYFUNCTION("IFNA(VLOOKUP(C191,IMPORTRANGE(""https://docs.google.com/spreadsheets/d/1rG8iy-kKSFDxhVaU60GJ2bpXc8tZqI1bT8U0Ac0DWTU/edit?usp=sharing"",""REGISTRATION!C:V""),20,FALSE),"""")"),"")</f>
        <v/>
      </c>
      <c r="H191" s="32" t="str">
        <f>IFERROR(__xludf.DUMMYFUNCTION("IFNA(VLOOKUP(C191,IMPORTRANGE(""https://docs.google.com/spreadsheets/d/1rG8iy-kKSFDxhVaU60GJ2bpXc8tZqI1bT8U0Ac0DWTU/edit?usp=sharing"",""REGISTRATION!C:V""),19,FALSE),"""")"),"")</f>
        <v/>
      </c>
    </row>
    <row r="192">
      <c r="C192" s="31"/>
      <c r="D192" s="32" t="str">
        <f>IFERROR(__xludf.DUMMYFUNCTION("IFNA(
IF(
VLOOKUP(C192,IMPORTRANGE(""https://docs.google.com/spreadsheets/d/1rG8iy-kKSFDxhVaU60GJ2bpXc8tZqI1bT8U0Ac0DWTU/edit?usp=sharing"",""REGISTRATION!C:X""),22,FALSE)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92" s="33" t="str">
        <f>IFERROR(__xludf.DUMMYFUNCTION("IFNA(
IF(
VLOOKUP(C192,IMPORTRANGE(""https://docs.google.com/spreadsheets/d/1rG8iy-kKSFDxhVaU60GJ2bpXc8tZqI1bT8U0Ac0DWTU/edit?usp=sharing"",""REGISTRATION!C:AB""),26,FALSE)
=""No"",
""No Candy"",
""""
),
""""
)"),"")</f>
        <v/>
      </c>
      <c r="F192" s="32" t="str">
        <f>IFERROR(__xludf.DUMMYFUNCTION("IFNA(VLOOKUP(C192,IMPORTRANGE(""https://docs.google.com/spreadsheets/d/1rG8iy-kKSFDxhVaU60GJ2bpXc8tZqI1bT8U0Ac0DWTU/edit?usp=sharing"",""REGISTRATION!C:V""),18,FALSE),"""")"),"")</f>
        <v/>
      </c>
      <c r="G192" s="32" t="str">
        <f>IFERROR(__xludf.DUMMYFUNCTION("IFNA(VLOOKUP(C192,IMPORTRANGE(""https://docs.google.com/spreadsheets/d/1rG8iy-kKSFDxhVaU60GJ2bpXc8tZqI1bT8U0Ac0DWTU/edit?usp=sharing"",""REGISTRATION!C:V""),20,FALSE),"""")"),"")</f>
        <v/>
      </c>
      <c r="H192" s="32" t="str">
        <f>IFERROR(__xludf.DUMMYFUNCTION("IFNA(VLOOKUP(C192,IMPORTRANGE(""https://docs.google.com/spreadsheets/d/1rG8iy-kKSFDxhVaU60GJ2bpXc8tZqI1bT8U0Ac0DWTU/edit?usp=sharing"",""REGISTRATION!C:V""),19,FALSE),"""")"),"")</f>
        <v/>
      </c>
    </row>
    <row r="193">
      <c r="C193" s="31"/>
      <c r="D193" s="32" t="str">
        <f>IFERROR(__xludf.DUMMYFUNCTION("IFNA(
IF(
VLOOKUP(C193,IMPORTRANGE(""https://docs.google.com/spreadsheets/d/1rG8iy-kKSFDxhVaU60GJ2bpXc8tZqI1bT8U0Ac0DWTU/edit?usp=sharing"",""REGISTRATION!C:X""),22,FALSE)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93" s="33" t="str">
        <f>IFERROR(__xludf.DUMMYFUNCTION("IFNA(
IF(
VLOOKUP(C193,IMPORTRANGE(""https://docs.google.com/spreadsheets/d/1rG8iy-kKSFDxhVaU60GJ2bpXc8tZqI1bT8U0Ac0DWTU/edit?usp=sharing"",""REGISTRATION!C:AB""),26,FALSE)
=""No"",
""No Candy"",
""""
),
""""
)"),"")</f>
        <v/>
      </c>
      <c r="F193" s="32" t="str">
        <f>IFERROR(__xludf.DUMMYFUNCTION("IFNA(VLOOKUP(C193,IMPORTRANGE(""https://docs.google.com/spreadsheets/d/1rG8iy-kKSFDxhVaU60GJ2bpXc8tZqI1bT8U0Ac0DWTU/edit?usp=sharing"",""REGISTRATION!C:V""),18,FALSE),"""")"),"")</f>
        <v/>
      </c>
      <c r="G193" s="32" t="str">
        <f>IFERROR(__xludf.DUMMYFUNCTION("IFNA(VLOOKUP(C193,IMPORTRANGE(""https://docs.google.com/spreadsheets/d/1rG8iy-kKSFDxhVaU60GJ2bpXc8tZqI1bT8U0Ac0DWTU/edit?usp=sharing"",""REGISTRATION!C:V""),20,FALSE),"""")"),"")</f>
        <v/>
      </c>
      <c r="H193" s="32" t="str">
        <f>IFERROR(__xludf.DUMMYFUNCTION("IFNA(VLOOKUP(C193,IMPORTRANGE(""https://docs.google.com/spreadsheets/d/1rG8iy-kKSFDxhVaU60GJ2bpXc8tZqI1bT8U0Ac0DWTU/edit?usp=sharing"",""REGISTRATION!C:V""),19,FALSE),"""")"),"")</f>
        <v/>
      </c>
    </row>
    <row r="194">
      <c r="C194" s="31"/>
      <c r="D194" s="32" t="str">
        <f>IFERROR(__xludf.DUMMYFUNCTION("IFNA(
IF(
VLOOKUP(C194,IMPORTRANGE(""https://docs.google.com/spreadsheets/d/1rG8iy-kKSFDxhVaU60GJ2bpXc8tZqI1bT8U0Ac0DWTU/edit?usp=sharing"",""REGISTRATION!C:X""),22,FALSE)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94" s="33" t="str">
        <f>IFERROR(__xludf.DUMMYFUNCTION("IFNA(
IF(
VLOOKUP(C194,IMPORTRANGE(""https://docs.google.com/spreadsheets/d/1rG8iy-kKSFDxhVaU60GJ2bpXc8tZqI1bT8U0Ac0DWTU/edit?usp=sharing"",""REGISTRATION!C:AB""),26,FALSE)
=""No"",
""No Candy"",
""""
),
""""
)"),"")</f>
        <v/>
      </c>
      <c r="F194" s="32" t="str">
        <f>IFERROR(__xludf.DUMMYFUNCTION("IFNA(VLOOKUP(C194,IMPORTRANGE(""https://docs.google.com/spreadsheets/d/1rG8iy-kKSFDxhVaU60GJ2bpXc8tZqI1bT8U0Ac0DWTU/edit?usp=sharing"",""REGISTRATION!C:V""),18,FALSE),"""")"),"")</f>
        <v/>
      </c>
      <c r="G194" s="32" t="str">
        <f>IFERROR(__xludf.DUMMYFUNCTION("IFNA(VLOOKUP(C194,IMPORTRANGE(""https://docs.google.com/spreadsheets/d/1rG8iy-kKSFDxhVaU60GJ2bpXc8tZqI1bT8U0Ac0DWTU/edit?usp=sharing"",""REGISTRATION!C:V""),20,FALSE),"""")"),"")</f>
        <v/>
      </c>
      <c r="H194" s="32" t="str">
        <f>IFERROR(__xludf.DUMMYFUNCTION("IFNA(VLOOKUP(C194,IMPORTRANGE(""https://docs.google.com/spreadsheets/d/1rG8iy-kKSFDxhVaU60GJ2bpXc8tZqI1bT8U0Ac0DWTU/edit?usp=sharing"",""REGISTRATION!C:V""),19,FALSE),"""")"),"")</f>
        <v/>
      </c>
    </row>
    <row r="195">
      <c r="C195" s="31"/>
      <c r="D195" s="32" t="str">
        <f>IFERROR(__xludf.DUMMYFUNCTION("IFNA(
IF(
VLOOKUP(C195,IMPORTRANGE(""https://docs.google.com/spreadsheets/d/1rG8iy-kKSFDxhVaU60GJ2bpXc8tZqI1bT8U0Ac0DWTU/edit?usp=sharing"",""REGISTRATION!C:X""),22,FALSE)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95" s="33" t="str">
        <f>IFERROR(__xludf.DUMMYFUNCTION("IFNA(
IF(
VLOOKUP(C195,IMPORTRANGE(""https://docs.google.com/spreadsheets/d/1rG8iy-kKSFDxhVaU60GJ2bpXc8tZqI1bT8U0Ac0DWTU/edit?usp=sharing"",""REGISTRATION!C:AB""),26,FALSE)
=""No"",
""No Candy"",
""""
),
""""
)"),"")</f>
        <v/>
      </c>
      <c r="F195" s="32" t="str">
        <f>IFERROR(__xludf.DUMMYFUNCTION("IFNA(VLOOKUP(C195,IMPORTRANGE(""https://docs.google.com/spreadsheets/d/1rG8iy-kKSFDxhVaU60GJ2bpXc8tZqI1bT8U0Ac0DWTU/edit?usp=sharing"",""REGISTRATION!C:V""),18,FALSE),"""")"),"")</f>
        <v/>
      </c>
      <c r="G195" s="32" t="str">
        <f>IFERROR(__xludf.DUMMYFUNCTION("IFNA(VLOOKUP(C195,IMPORTRANGE(""https://docs.google.com/spreadsheets/d/1rG8iy-kKSFDxhVaU60GJ2bpXc8tZqI1bT8U0Ac0DWTU/edit?usp=sharing"",""REGISTRATION!C:V""),20,FALSE),"""")"),"")</f>
        <v/>
      </c>
      <c r="H195" s="32" t="str">
        <f>IFERROR(__xludf.DUMMYFUNCTION("IFNA(VLOOKUP(C195,IMPORTRANGE(""https://docs.google.com/spreadsheets/d/1rG8iy-kKSFDxhVaU60GJ2bpXc8tZqI1bT8U0Ac0DWTU/edit?usp=sharing"",""REGISTRATION!C:V""),19,FALSE),"""")"),"")</f>
        <v/>
      </c>
    </row>
    <row r="196">
      <c r="C196" s="31"/>
      <c r="D196" s="32" t="str">
        <f>IFERROR(__xludf.DUMMYFUNCTION("IFNA(
IF(
VLOOKUP(C196,IMPORTRANGE(""https://docs.google.com/spreadsheets/d/1rG8iy-kKSFDxhVaU60GJ2bpXc8tZqI1bT8U0Ac0DWTU/edit?usp=sharing"",""REGISTRATION!C:X""),22,FALSE)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96" s="33" t="str">
        <f>IFERROR(__xludf.DUMMYFUNCTION("IFNA(
IF(
VLOOKUP(C196,IMPORTRANGE(""https://docs.google.com/spreadsheets/d/1rG8iy-kKSFDxhVaU60GJ2bpXc8tZqI1bT8U0Ac0DWTU/edit?usp=sharing"",""REGISTRATION!C:AB""),26,FALSE)
=""No"",
""No Candy"",
""""
),
""""
)"),"")</f>
        <v/>
      </c>
      <c r="F196" s="32" t="str">
        <f>IFERROR(__xludf.DUMMYFUNCTION("IFNA(VLOOKUP(C196,IMPORTRANGE(""https://docs.google.com/spreadsheets/d/1rG8iy-kKSFDxhVaU60GJ2bpXc8tZqI1bT8U0Ac0DWTU/edit?usp=sharing"",""REGISTRATION!C:V""),18,FALSE),"""")"),"")</f>
        <v/>
      </c>
      <c r="G196" s="32" t="str">
        <f>IFERROR(__xludf.DUMMYFUNCTION("IFNA(VLOOKUP(C196,IMPORTRANGE(""https://docs.google.com/spreadsheets/d/1rG8iy-kKSFDxhVaU60GJ2bpXc8tZqI1bT8U0Ac0DWTU/edit?usp=sharing"",""REGISTRATION!C:V""),20,FALSE),"""")"),"")</f>
        <v/>
      </c>
      <c r="H196" s="32" t="str">
        <f>IFERROR(__xludf.DUMMYFUNCTION("IFNA(VLOOKUP(C196,IMPORTRANGE(""https://docs.google.com/spreadsheets/d/1rG8iy-kKSFDxhVaU60GJ2bpXc8tZqI1bT8U0Ac0DWTU/edit?usp=sharing"",""REGISTRATION!C:V""),19,FALSE),"""")"),"")</f>
        <v/>
      </c>
    </row>
    <row r="197">
      <c r="C197" s="31"/>
      <c r="D197" s="32" t="str">
        <f>IFERROR(__xludf.DUMMYFUNCTION("IFNA(
IF(
VLOOKUP(C197,IMPORTRANGE(""https://docs.google.com/spreadsheets/d/1rG8iy-kKSFDxhVaU60GJ2bpXc8tZqI1bT8U0Ac0DWTU/edit?usp=sharing"",""REGISTRATION!C:X""),22,FALSE)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97" s="33" t="str">
        <f>IFERROR(__xludf.DUMMYFUNCTION("IFNA(
IF(
VLOOKUP(C197,IMPORTRANGE(""https://docs.google.com/spreadsheets/d/1rG8iy-kKSFDxhVaU60GJ2bpXc8tZqI1bT8U0Ac0DWTU/edit?usp=sharing"",""REGISTRATION!C:AB""),26,FALSE)
=""No"",
""No Candy"",
""""
),
""""
)"),"")</f>
        <v/>
      </c>
      <c r="F197" s="32" t="str">
        <f>IFERROR(__xludf.DUMMYFUNCTION("IFNA(VLOOKUP(C197,IMPORTRANGE(""https://docs.google.com/spreadsheets/d/1rG8iy-kKSFDxhVaU60GJ2bpXc8tZqI1bT8U0Ac0DWTU/edit?usp=sharing"",""REGISTRATION!C:V""),18,FALSE),"""")"),"")</f>
        <v/>
      </c>
      <c r="G197" s="32" t="str">
        <f>IFERROR(__xludf.DUMMYFUNCTION("IFNA(VLOOKUP(C197,IMPORTRANGE(""https://docs.google.com/spreadsheets/d/1rG8iy-kKSFDxhVaU60GJ2bpXc8tZqI1bT8U0Ac0DWTU/edit?usp=sharing"",""REGISTRATION!C:V""),20,FALSE),"""")"),"")</f>
        <v/>
      </c>
      <c r="H197" s="32" t="str">
        <f>IFERROR(__xludf.DUMMYFUNCTION("IFNA(VLOOKUP(C197,IMPORTRANGE(""https://docs.google.com/spreadsheets/d/1rG8iy-kKSFDxhVaU60GJ2bpXc8tZqI1bT8U0Ac0DWTU/edit?usp=sharing"",""REGISTRATION!C:V""),19,FALSE),"""")"),"")</f>
        <v/>
      </c>
    </row>
    <row r="198">
      <c r="C198" s="31"/>
      <c r="D198" s="32" t="str">
        <f>IFERROR(__xludf.DUMMYFUNCTION("IFNA(
IF(
VLOOKUP(C198,IMPORTRANGE(""https://docs.google.com/spreadsheets/d/1rG8iy-kKSFDxhVaU60GJ2bpXc8tZqI1bT8U0Ac0DWTU/edit?usp=sharing"",""REGISTRATION!C:X""),22,FALSE)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98" s="33" t="str">
        <f>IFERROR(__xludf.DUMMYFUNCTION("IFNA(
IF(
VLOOKUP(C198,IMPORTRANGE(""https://docs.google.com/spreadsheets/d/1rG8iy-kKSFDxhVaU60GJ2bpXc8tZqI1bT8U0Ac0DWTU/edit?usp=sharing"",""REGISTRATION!C:AB""),26,FALSE)
=""No"",
""No Candy"",
""""
),
""""
)"),"")</f>
        <v/>
      </c>
      <c r="F198" s="32" t="str">
        <f>IFERROR(__xludf.DUMMYFUNCTION("IFNA(VLOOKUP(C198,IMPORTRANGE(""https://docs.google.com/spreadsheets/d/1rG8iy-kKSFDxhVaU60GJ2bpXc8tZqI1bT8U0Ac0DWTU/edit?usp=sharing"",""REGISTRATION!C:V""),18,FALSE),"""")"),"")</f>
        <v/>
      </c>
      <c r="G198" s="32" t="str">
        <f>IFERROR(__xludf.DUMMYFUNCTION("IFNA(VLOOKUP(C198,IMPORTRANGE(""https://docs.google.com/spreadsheets/d/1rG8iy-kKSFDxhVaU60GJ2bpXc8tZqI1bT8U0Ac0DWTU/edit?usp=sharing"",""REGISTRATION!C:V""),20,FALSE),"""")"),"")</f>
        <v/>
      </c>
      <c r="H198" s="32" t="str">
        <f>IFERROR(__xludf.DUMMYFUNCTION("IFNA(VLOOKUP(C198,IMPORTRANGE(""https://docs.google.com/spreadsheets/d/1rG8iy-kKSFDxhVaU60GJ2bpXc8tZqI1bT8U0Ac0DWTU/edit?usp=sharing"",""REGISTRATION!C:V""),19,FALSE),"""")"),"")</f>
        <v/>
      </c>
    </row>
    <row r="199">
      <c r="C199" s="31"/>
      <c r="D199" s="32" t="str">
        <f>IFERROR(__xludf.DUMMYFUNCTION("IFNA(
IF(
VLOOKUP(C199,IMPORTRANGE(""https://docs.google.com/spreadsheets/d/1rG8iy-kKSFDxhVaU60GJ2bpXc8tZqI1bT8U0Ac0DWTU/edit?usp=sharing"",""REGISTRATION!C:X""),22,FALSE)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99" s="33" t="str">
        <f>IFERROR(__xludf.DUMMYFUNCTION("IFNA(
IF(
VLOOKUP(C199,IMPORTRANGE(""https://docs.google.com/spreadsheets/d/1rG8iy-kKSFDxhVaU60GJ2bpXc8tZqI1bT8U0Ac0DWTU/edit?usp=sharing"",""REGISTRATION!C:AB""),26,FALSE)
=""No"",
""No Candy"",
""""
),
""""
)"),"")</f>
        <v/>
      </c>
      <c r="F199" s="32" t="str">
        <f>IFERROR(__xludf.DUMMYFUNCTION("IFNA(VLOOKUP(C199,IMPORTRANGE(""https://docs.google.com/spreadsheets/d/1rG8iy-kKSFDxhVaU60GJ2bpXc8tZqI1bT8U0Ac0DWTU/edit?usp=sharing"",""REGISTRATION!C:V""),18,FALSE),"""")"),"")</f>
        <v/>
      </c>
      <c r="G199" s="32" t="str">
        <f>IFERROR(__xludf.DUMMYFUNCTION("IFNA(VLOOKUP(C199,IMPORTRANGE(""https://docs.google.com/spreadsheets/d/1rG8iy-kKSFDxhVaU60GJ2bpXc8tZqI1bT8U0Ac0DWTU/edit?usp=sharing"",""REGISTRATION!C:V""),20,FALSE),"""")"),"")</f>
        <v/>
      </c>
      <c r="H199" s="32" t="str">
        <f>IFERROR(__xludf.DUMMYFUNCTION("IFNA(VLOOKUP(C199,IMPORTRANGE(""https://docs.google.com/spreadsheets/d/1rG8iy-kKSFDxhVaU60GJ2bpXc8tZqI1bT8U0Ac0DWTU/edit?usp=sharing"",""REGISTRATION!C:V""),19,FALSE),"""")"),"")</f>
        <v/>
      </c>
    </row>
    <row r="200">
      <c r="C200" s="31"/>
      <c r="D200" s="32" t="str">
        <f>IFERROR(__xludf.DUMMYFUNCTION("IFNA(
IF(
VLOOKUP(C200,IMPORTRANGE(""https://docs.google.com/spreadsheets/d/1rG8iy-kKSFDxhVaU60GJ2bpXc8tZqI1bT8U0Ac0DWTU/edit?usp=sharing"",""REGISTRATION!C:X""),22,FALSE)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00" s="33" t="str">
        <f>IFERROR(__xludf.DUMMYFUNCTION("IFNA(
IF(
VLOOKUP(C200,IMPORTRANGE(""https://docs.google.com/spreadsheets/d/1rG8iy-kKSFDxhVaU60GJ2bpXc8tZqI1bT8U0Ac0DWTU/edit?usp=sharing"",""REGISTRATION!C:AB""),26,FALSE)
=""No"",
""No Candy"",
""""
),
""""
)"),"")</f>
        <v/>
      </c>
      <c r="F200" s="32" t="str">
        <f>IFERROR(__xludf.DUMMYFUNCTION("IFNA(VLOOKUP(C200,IMPORTRANGE(""https://docs.google.com/spreadsheets/d/1rG8iy-kKSFDxhVaU60GJ2bpXc8tZqI1bT8U0Ac0DWTU/edit?usp=sharing"",""REGISTRATION!C:V""),18,FALSE),"""")"),"")</f>
        <v/>
      </c>
      <c r="G200" s="32" t="str">
        <f>IFERROR(__xludf.DUMMYFUNCTION("IFNA(VLOOKUP(C200,IMPORTRANGE(""https://docs.google.com/spreadsheets/d/1rG8iy-kKSFDxhVaU60GJ2bpXc8tZqI1bT8U0Ac0DWTU/edit?usp=sharing"",""REGISTRATION!C:V""),20,FALSE),"""")"),"")</f>
        <v/>
      </c>
      <c r="H200" s="32" t="str">
        <f>IFERROR(__xludf.DUMMYFUNCTION("IFNA(VLOOKUP(C200,IMPORTRANGE(""https://docs.google.com/spreadsheets/d/1rG8iy-kKSFDxhVaU60GJ2bpXc8tZqI1bT8U0Ac0DWTU/edit?usp=sharing"",""REGISTRATION!C:V""),19,FALSE),"""")"),"")</f>
        <v/>
      </c>
    </row>
    <row r="201">
      <c r="C201" s="31"/>
      <c r="D201" s="32" t="str">
        <f>IFERROR(__xludf.DUMMYFUNCTION("IFNA(
IF(
VLOOKUP(C201,IMPORTRANGE(""https://docs.google.com/spreadsheets/d/1rG8iy-kKSFDxhVaU60GJ2bpXc8tZqI1bT8U0Ac0DWTU/edit?usp=sharing"",""REGISTRATION!C:X""),22,FALSE)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01" s="33" t="str">
        <f>IFERROR(__xludf.DUMMYFUNCTION("IFNA(
IF(
VLOOKUP(C201,IMPORTRANGE(""https://docs.google.com/spreadsheets/d/1rG8iy-kKSFDxhVaU60GJ2bpXc8tZqI1bT8U0Ac0DWTU/edit?usp=sharing"",""REGISTRATION!C:AB""),26,FALSE)
=""No"",
""No Candy"",
""""
),
""""
)"),"")</f>
        <v/>
      </c>
      <c r="F201" s="32" t="str">
        <f>IFERROR(__xludf.DUMMYFUNCTION("IFNA(VLOOKUP(C201,IMPORTRANGE(""https://docs.google.com/spreadsheets/d/1rG8iy-kKSFDxhVaU60GJ2bpXc8tZqI1bT8U0Ac0DWTU/edit?usp=sharing"",""REGISTRATION!C:V""),18,FALSE),"""")"),"")</f>
        <v/>
      </c>
      <c r="G201" s="32" t="str">
        <f>IFERROR(__xludf.DUMMYFUNCTION("IFNA(VLOOKUP(C201,IMPORTRANGE(""https://docs.google.com/spreadsheets/d/1rG8iy-kKSFDxhVaU60GJ2bpXc8tZqI1bT8U0Ac0DWTU/edit?usp=sharing"",""REGISTRATION!C:V""),20,FALSE),"""")"),"")</f>
        <v/>
      </c>
      <c r="H201" s="32" t="str">
        <f>IFERROR(__xludf.DUMMYFUNCTION("IFNA(VLOOKUP(C201,IMPORTRANGE(""https://docs.google.com/spreadsheets/d/1rG8iy-kKSFDxhVaU60GJ2bpXc8tZqI1bT8U0Ac0DWTU/edit?usp=sharing"",""REGISTRATION!C:V""),19,FALSE),"""")"),"")</f>
        <v/>
      </c>
    </row>
    <row r="202">
      <c r="C202" s="31"/>
      <c r="D202" s="32" t="str">
        <f>IFERROR(__xludf.DUMMYFUNCTION("IFNA(
IF(
VLOOKUP(C202,IMPORTRANGE(""https://docs.google.com/spreadsheets/d/1rG8iy-kKSFDxhVaU60GJ2bpXc8tZqI1bT8U0Ac0DWTU/edit?usp=sharing"",""REGISTRATION!C:X""),22,FALSE)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02" s="33" t="str">
        <f>IFERROR(__xludf.DUMMYFUNCTION("IFNA(
IF(
VLOOKUP(C202,IMPORTRANGE(""https://docs.google.com/spreadsheets/d/1rG8iy-kKSFDxhVaU60GJ2bpXc8tZqI1bT8U0Ac0DWTU/edit?usp=sharing"",""REGISTRATION!C:AB""),26,FALSE)
=""No"",
""No Candy"",
""""
),
""""
)"),"")</f>
        <v/>
      </c>
      <c r="F202" s="32" t="str">
        <f>IFERROR(__xludf.DUMMYFUNCTION("IFNA(VLOOKUP(C202,IMPORTRANGE(""https://docs.google.com/spreadsheets/d/1rG8iy-kKSFDxhVaU60GJ2bpXc8tZqI1bT8U0Ac0DWTU/edit?usp=sharing"",""REGISTRATION!C:V""),18,FALSE),"""")"),"")</f>
        <v/>
      </c>
      <c r="G202" s="32" t="str">
        <f>IFERROR(__xludf.DUMMYFUNCTION("IFNA(VLOOKUP(C202,IMPORTRANGE(""https://docs.google.com/spreadsheets/d/1rG8iy-kKSFDxhVaU60GJ2bpXc8tZqI1bT8U0Ac0DWTU/edit?usp=sharing"",""REGISTRATION!C:V""),20,FALSE),"""")"),"")</f>
        <v/>
      </c>
      <c r="H202" s="32" t="str">
        <f>IFERROR(__xludf.DUMMYFUNCTION("IFNA(VLOOKUP(C202,IMPORTRANGE(""https://docs.google.com/spreadsheets/d/1rG8iy-kKSFDxhVaU60GJ2bpXc8tZqI1bT8U0Ac0DWTU/edit?usp=sharing"",""REGISTRATION!C:V""),19,FALSE),"""")"),"")</f>
        <v/>
      </c>
    </row>
    <row r="203">
      <c r="C203" s="31"/>
      <c r="D203" s="32" t="str">
        <f>IFERROR(__xludf.DUMMYFUNCTION("IFNA(
IF(
VLOOKUP(C203,IMPORTRANGE(""https://docs.google.com/spreadsheets/d/1rG8iy-kKSFDxhVaU60GJ2bpXc8tZqI1bT8U0Ac0DWTU/edit?usp=sharing"",""REGISTRATION!C:X""),22,FALSE)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03" s="33" t="str">
        <f>IFERROR(__xludf.DUMMYFUNCTION("IFNA(
IF(
VLOOKUP(C203,IMPORTRANGE(""https://docs.google.com/spreadsheets/d/1rG8iy-kKSFDxhVaU60GJ2bpXc8tZqI1bT8U0Ac0DWTU/edit?usp=sharing"",""REGISTRATION!C:AB""),26,FALSE)
=""No"",
""No Candy"",
""""
),
""""
)"),"")</f>
        <v/>
      </c>
      <c r="F203" s="32" t="str">
        <f>IFERROR(__xludf.DUMMYFUNCTION("IFNA(VLOOKUP(C203,IMPORTRANGE(""https://docs.google.com/spreadsheets/d/1rG8iy-kKSFDxhVaU60GJ2bpXc8tZqI1bT8U0Ac0DWTU/edit?usp=sharing"",""REGISTRATION!C:V""),18,FALSE),"""")"),"")</f>
        <v/>
      </c>
      <c r="G203" s="32" t="str">
        <f>IFERROR(__xludf.DUMMYFUNCTION("IFNA(VLOOKUP(C203,IMPORTRANGE(""https://docs.google.com/spreadsheets/d/1rG8iy-kKSFDxhVaU60GJ2bpXc8tZqI1bT8U0Ac0DWTU/edit?usp=sharing"",""REGISTRATION!C:V""),20,FALSE),"""")"),"")</f>
        <v/>
      </c>
      <c r="H203" s="32" t="str">
        <f>IFERROR(__xludf.DUMMYFUNCTION("IFNA(VLOOKUP(C203,IMPORTRANGE(""https://docs.google.com/spreadsheets/d/1rG8iy-kKSFDxhVaU60GJ2bpXc8tZqI1bT8U0Ac0DWTU/edit?usp=sharing"",""REGISTRATION!C:V""),19,FALSE),"""")"),"")</f>
        <v/>
      </c>
    </row>
    <row r="204">
      <c r="A204" s="15" t="s">
        <v>181</v>
      </c>
      <c r="B204" s="15" t="s">
        <v>182</v>
      </c>
      <c r="C204" s="16" t="s">
        <v>183</v>
      </c>
      <c r="D204" s="17" t="str">
        <f>IFERROR(__xludf.DUMMYFUNCTION("IFNA(
IF(
VLOOKUP(C204,IMPORTRANGE(""https://docs.google.com/spreadsheets/d/1rG8iy-kKSFDxhVaU60GJ2bpXc8tZqI1bT8U0Ac0DWTU/edit?usp=sharing"",""REGISTRATION!C:X""),22,FALSE)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04" s="18" t="str">
        <f>IFERROR(__xludf.DUMMYFUNCTION("IFNA(
IF(
VLOOKUP(C204,IMPORTRANGE(""https://docs.google.com/spreadsheets/d/1rG8iy-kKSFDxhVaU60GJ2bpXc8tZqI1bT8U0Ac0DWTU/edit?usp=sharing"",""REGISTRATION!C:AB""),26,FALSE)
=""No"",
""No Candy"",
""""
),
""""
)"),"")</f>
        <v/>
      </c>
      <c r="F204" s="19" t="str">
        <f>IFERROR(__xludf.DUMMYFUNCTION("IFNA(VLOOKUP(C204,IMPORTRANGE(""https://docs.google.com/spreadsheets/d/1rG8iy-kKSFDxhVaU60GJ2bpXc8tZqI1bT8U0Ac0DWTU/edit?usp=sharing"",""REGISTRATION!C:V""),18,FALSE),"""")"),"Gluten")</f>
        <v>Gluten</v>
      </c>
      <c r="G204" s="17" t="str">
        <f>IFERROR(__xludf.DUMMYFUNCTION("IFNA(VLOOKUP(C204,IMPORTRANGE(""https://docs.google.com/spreadsheets/d/1rG8iy-kKSFDxhVaU60GJ2bpXc8tZqI1bT8U0Ac0DWTU/edit?usp=sharing"",""REGISTRATION!C:V""),20,FALSE),"""")"),"")</f>
        <v/>
      </c>
      <c r="H204" s="17" t="str">
        <f>IFERROR(__xludf.DUMMYFUNCTION("IFNA(VLOOKUP(C204,IMPORTRANGE(""https://docs.google.com/spreadsheets/d/1rG8iy-kKSFDxhVaU60GJ2bpXc8tZqI1bT8U0Ac0DWTU/edit?usp=sharing"",""REGISTRATION!C:V""),19,FALSE),"""")"),"None")</f>
        <v>None</v>
      </c>
    </row>
    <row r="205">
      <c r="C205" s="20" t="s">
        <v>184</v>
      </c>
      <c r="D205" s="21" t="str">
        <f>IFERROR(__xludf.DUMMYFUNCTION("IFNA(
IF(
VLOOKUP(C205,IMPORTRANGE(""https://docs.google.com/spreadsheets/d/1rG8iy-kKSFDxhVaU60GJ2bpXc8tZqI1bT8U0Ac0DWTU/edit?usp=sharing"",""REGISTRATION!C:X""),22,FALSE)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05" s="22" t="str">
        <f>IFERROR(__xludf.DUMMYFUNCTION("IFNA(
IF(
VLOOKUP(C205,IMPORTRANGE(""https://docs.google.com/spreadsheets/d/1rG8iy-kKSFDxhVaU60GJ2bpXc8tZqI1bT8U0Ac0DWTU/edit?usp=sharing"",""REGISTRATION!C:AB""),26,FALSE)
=""No"",
""No Candy"",
""""
),
""""
)"),"")</f>
        <v/>
      </c>
      <c r="F205" s="23" t="str">
        <f>IFERROR(__xludf.DUMMYFUNCTION("IFNA(VLOOKUP(C205,IMPORTRANGE(""https://docs.google.com/spreadsheets/d/1rG8iy-kKSFDxhVaU60GJ2bpXc8tZqI1bT8U0Ac0DWTU/edit?usp=sharing"",""REGISTRATION!C:V""),18,FALSE),"""")"),"Cats")</f>
        <v>Cats</v>
      </c>
      <c r="G205" s="21" t="str">
        <f>IFERROR(__xludf.DUMMYFUNCTION("IFNA(VLOOKUP(C205,IMPORTRANGE(""https://docs.google.com/spreadsheets/d/1rG8iy-kKSFDxhVaU60GJ2bpXc8tZqI1bT8U0Ac0DWTU/edit?usp=sharing"",""REGISTRATION!C:V""),20,FALSE),"""")"),"")</f>
        <v/>
      </c>
      <c r="H205" s="21" t="str">
        <f>IFERROR(__xludf.DUMMYFUNCTION("IFNA(VLOOKUP(C205,IMPORTRANGE(""https://docs.google.com/spreadsheets/d/1rG8iy-kKSFDxhVaU60GJ2bpXc8tZqI1bT8U0Ac0DWTU/edit?usp=sharing"",""REGISTRATION!C:V""),19,FALSE),"""")"),"None")</f>
        <v>None</v>
      </c>
    </row>
    <row r="206">
      <c r="C206" s="20" t="s">
        <v>185</v>
      </c>
      <c r="D206" s="21" t="str">
        <f>IFERROR(__xludf.DUMMYFUNCTION("IFNA(
IF(
VLOOKUP(C206,IMPORTRANGE(""https://docs.google.com/spreadsheets/d/1rG8iy-kKSFDxhVaU60GJ2bpXc8tZqI1bT8U0Ac0DWTU/edit?usp=sharing"",""REGISTRATION!C:X""),22,FALSE)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06" s="22" t="str">
        <f>IFERROR(__xludf.DUMMYFUNCTION("IFNA(
IF(
VLOOKUP(C206,IMPORTRANGE(""https://docs.google.com/spreadsheets/d/1rG8iy-kKSFDxhVaU60GJ2bpXc8tZqI1bT8U0Ac0DWTU/edit?usp=sharing"",""REGISTRATION!C:AB""),26,FALSE)
=""No"",
""No Candy"",
""""
),
""""
)"),"")</f>
        <v/>
      </c>
      <c r="F206" s="21" t="str">
        <f>IFERROR(__xludf.DUMMYFUNCTION("IFNA(VLOOKUP(C206,IMPORTRANGE(""https://docs.google.com/spreadsheets/d/1rG8iy-kKSFDxhVaU60GJ2bpXc8tZqI1bT8U0Ac0DWTU/edit?usp=sharing"",""REGISTRATION!C:V""),18,FALSE),"""")"),"None")</f>
        <v>None</v>
      </c>
      <c r="G206" s="21" t="str">
        <f>IFERROR(__xludf.DUMMYFUNCTION("IFNA(VLOOKUP(C206,IMPORTRANGE(""https://docs.google.com/spreadsheets/d/1rG8iy-kKSFDxhVaU60GJ2bpXc8tZqI1bT8U0Ac0DWTU/edit?usp=sharing"",""REGISTRATION!C:V""),20,FALSE),"""")"),"")</f>
        <v/>
      </c>
      <c r="H206" s="21" t="str">
        <f>IFERROR(__xludf.DUMMYFUNCTION("IFNA(VLOOKUP(C206,IMPORTRANGE(""https://docs.google.com/spreadsheets/d/1rG8iy-kKSFDxhVaU60GJ2bpXc8tZqI1bT8U0Ac0DWTU/edit?usp=sharing"",""REGISTRATION!C:V""),19,FALSE),"""")"),"None")</f>
        <v>None</v>
      </c>
    </row>
    <row r="207">
      <c r="C207" s="20" t="s">
        <v>186</v>
      </c>
      <c r="D207" s="21" t="str">
        <f>IFERROR(__xludf.DUMMYFUNCTION("IFNA(
IF(
VLOOKUP(C207,IMPORTRANGE(""https://docs.google.com/spreadsheets/d/1rG8iy-kKSFDxhVaU60GJ2bpXc8tZqI1bT8U0Ac0DWTU/edit?usp=sharing"",""REGISTRATION!C:X""),22,FALSE)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07" s="22" t="str">
        <f>IFERROR(__xludf.DUMMYFUNCTION("IFNA(
IF(
VLOOKUP(C207,IMPORTRANGE(""https://docs.google.com/spreadsheets/d/1rG8iy-kKSFDxhVaU60GJ2bpXc8tZqI1bT8U0Ac0DWTU/edit?usp=sharing"",""REGISTRATION!C:AB""),26,FALSE)
=""No"",
""No Candy"",
""""
),
""""
)"),"")</f>
        <v/>
      </c>
      <c r="F207" s="21" t="str">
        <f>IFERROR(__xludf.DUMMYFUNCTION("IFNA(VLOOKUP(C207,IMPORTRANGE(""https://docs.google.com/spreadsheets/d/1rG8iy-kKSFDxhVaU60GJ2bpXc8tZqI1bT8U0Ac0DWTU/edit?usp=sharing"",""REGISTRATION!C:V""),18,FALSE),"""")"),"None")</f>
        <v>None</v>
      </c>
      <c r="G207" s="21" t="str">
        <f>IFERROR(__xludf.DUMMYFUNCTION("IFNA(VLOOKUP(C207,IMPORTRANGE(""https://docs.google.com/spreadsheets/d/1rG8iy-kKSFDxhVaU60GJ2bpXc8tZqI1bT8U0Ac0DWTU/edit?usp=sharing"",""REGISTRATION!C:V""),20,FALSE),"""")"),"")</f>
        <v/>
      </c>
      <c r="H207" s="23" t="str">
        <f>IFERROR(__xludf.DUMMYFUNCTION("IFNA(VLOOKUP(C207,IMPORTRANGE(""https://docs.google.com/spreadsheets/d/1rG8iy-kKSFDxhVaU60GJ2bpXc8tZqI1bT8U0Ac0DWTU/edit?usp=sharing"",""REGISTRATION!C:V""),19,FALSE),"""")"),"Dyslexia")</f>
        <v>Dyslexia</v>
      </c>
    </row>
    <row r="208">
      <c r="C208" s="24" t="s">
        <v>187</v>
      </c>
      <c r="D208" s="25" t="str">
        <f>IFERROR(__xludf.DUMMYFUNCTION("IFNA(
IF(
VLOOKUP(C208,IMPORTRANGE(""https://docs.google.com/spreadsheets/d/1rG8iy-kKSFDxhVaU60GJ2bpXc8tZqI1bT8U0Ac0DWTU/edit?usp=sharing"",""REGISTRATION!C:X""),22,FALSE)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08" s="26" t="str">
        <f>IFERROR(__xludf.DUMMYFUNCTION("IFNA(
IF(
VLOOKUP(C208,IMPORTRANGE(""https://docs.google.com/spreadsheets/d/1rG8iy-kKSFDxhVaU60GJ2bpXc8tZqI1bT8U0Ac0DWTU/edit?usp=sharing"",""REGISTRATION!C:AB""),26,FALSE)
=""No"",
""No Candy"",
""""
),
""""
)"),"")</f>
        <v/>
      </c>
      <c r="F208" s="25" t="str">
        <f>IFERROR(__xludf.DUMMYFUNCTION("IFNA(VLOOKUP(C208,IMPORTRANGE(""https://docs.google.com/spreadsheets/d/1rG8iy-kKSFDxhVaU60GJ2bpXc8tZqI1bT8U0Ac0DWTU/edit?usp=sharing"",""REGISTRATION!C:V""),18,FALSE),"""")"),"None")</f>
        <v>None</v>
      </c>
      <c r="G208" s="25" t="str">
        <f>IFERROR(__xludf.DUMMYFUNCTION("IFNA(VLOOKUP(C208,IMPORTRANGE(""https://docs.google.com/spreadsheets/d/1rG8iy-kKSFDxhVaU60GJ2bpXc8tZqI1bT8U0Ac0DWTU/edit?usp=sharing"",""REGISTRATION!C:V""),20,FALSE),"""")"),"")</f>
        <v/>
      </c>
      <c r="H208" s="25" t="str">
        <f>IFERROR(__xludf.DUMMYFUNCTION("IFNA(VLOOKUP(C208,IMPORTRANGE(""https://docs.google.com/spreadsheets/d/1rG8iy-kKSFDxhVaU60GJ2bpXc8tZqI1bT8U0Ac0DWTU/edit?usp=sharing"",""REGISTRATION!C:V""),19,FALSE),"""")"),"None")</f>
        <v>None</v>
      </c>
    </row>
    <row r="209">
      <c r="C209" s="20" t="s">
        <v>188</v>
      </c>
      <c r="D209" s="21" t="str">
        <f>IFERROR(__xludf.DUMMYFUNCTION("IFNA(
IF(
VLOOKUP(C209,IMPORTRANGE(""https://docs.google.com/spreadsheets/d/1rG8iy-kKSFDxhVaU60GJ2bpXc8tZqI1bT8U0Ac0DWTU/edit?usp=sharing"",""REGISTRATION!C:X""),22,FALSE)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09" s="22" t="str">
        <f>IFERROR(__xludf.DUMMYFUNCTION("IFNA(
IF(
VLOOKUP(C209,IMPORTRANGE(""https://docs.google.com/spreadsheets/d/1rG8iy-kKSFDxhVaU60GJ2bpXc8tZqI1bT8U0Ac0DWTU/edit?usp=sharing"",""REGISTRATION!C:AB""),26,FALSE)
=""No"",
""No Candy"",
""""
),
""""
)"),"")</f>
        <v/>
      </c>
      <c r="F209" s="21" t="str">
        <f>IFERROR(__xludf.DUMMYFUNCTION("IFNA(VLOOKUP(C209,IMPORTRANGE(""https://docs.google.com/spreadsheets/d/1rG8iy-kKSFDxhVaU60GJ2bpXc8tZqI1bT8U0Ac0DWTU/edit?usp=sharing"",""REGISTRATION!C:V""),18,FALSE),"""")"),"None")</f>
        <v>None</v>
      </c>
      <c r="G209" s="21" t="str">
        <f>IFERROR(__xludf.DUMMYFUNCTION("IFNA(VLOOKUP(C209,IMPORTRANGE(""https://docs.google.com/spreadsheets/d/1rG8iy-kKSFDxhVaU60GJ2bpXc8tZqI1bT8U0Ac0DWTU/edit?usp=sharing"",""REGISTRATION!C:V""),20,FALSE),"""")"),"")</f>
        <v/>
      </c>
      <c r="H209" s="21" t="str">
        <f>IFERROR(__xludf.DUMMYFUNCTION("IFNA(VLOOKUP(C209,IMPORTRANGE(""https://docs.google.com/spreadsheets/d/1rG8iy-kKSFDxhVaU60GJ2bpXc8tZqI1bT8U0Ac0DWTU/edit?usp=sharing"",""REGISTRATION!C:V""),19,FALSE),"""")"),"None")</f>
        <v>None</v>
      </c>
    </row>
    <row r="210">
      <c r="C210" s="24" t="s">
        <v>189</v>
      </c>
      <c r="D210" s="25" t="str">
        <f>IFERROR(__xludf.DUMMYFUNCTION("IFNA(
IF(
VLOOKUP(C210,IMPORTRANGE(""https://docs.google.com/spreadsheets/d/1rG8iy-kKSFDxhVaU60GJ2bpXc8tZqI1bT8U0Ac0DWTU/edit?usp=sharing"",""REGISTRATION!C:X""),22,FALSE)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10" s="26" t="str">
        <f>IFERROR(__xludf.DUMMYFUNCTION("IFNA(
IF(
VLOOKUP(C210,IMPORTRANGE(""https://docs.google.com/spreadsheets/d/1rG8iy-kKSFDxhVaU60GJ2bpXc8tZqI1bT8U0Ac0DWTU/edit?usp=sharing"",""REGISTRATION!C:AB""),26,FALSE)
=""No"",
""No Candy"",
""""
),
""""
)"),"")</f>
        <v/>
      </c>
      <c r="F210" s="25" t="str">
        <f>IFERROR(__xludf.DUMMYFUNCTION("IFNA(VLOOKUP(C210,IMPORTRANGE(""https://docs.google.com/spreadsheets/d/1rG8iy-kKSFDxhVaU60GJ2bpXc8tZqI1bT8U0Ac0DWTU/edit?usp=sharing"",""REGISTRATION!C:V""),18,FALSE),"""")"),"None")</f>
        <v>None</v>
      </c>
      <c r="G210" s="25" t="str">
        <f>IFERROR(__xludf.DUMMYFUNCTION("IFNA(VLOOKUP(C210,IMPORTRANGE(""https://docs.google.com/spreadsheets/d/1rG8iy-kKSFDxhVaU60GJ2bpXc8tZqI1bT8U0Ac0DWTU/edit?usp=sharing"",""REGISTRATION!C:V""),20,FALSE),"""")"),"")</f>
        <v/>
      </c>
      <c r="H210" s="27" t="str">
        <f>IFERROR(__xludf.DUMMYFUNCTION("IFNA(VLOOKUP(C210,IMPORTRANGE(""https://docs.google.com/spreadsheets/d/1rG8iy-kKSFDxhVaU60GJ2bpXc8tZqI1bT8U0Ac0DWTU/edit?usp=sharing"",""REGISTRATION!C:V""),19,FALSE),"""")"),"ADHD")</f>
        <v>ADHD</v>
      </c>
    </row>
    <row r="211">
      <c r="C211" s="20" t="s">
        <v>190</v>
      </c>
      <c r="D211" s="21" t="str">
        <f>IFERROR(__xludf.DUMMYFUNCTION("IFNA(
IF(
VLOOKUP(C211,IMPORTRANGE(""https://docs.google.com/spreadsheets/d/1rG8iy-kKSFDxhVaU60GJ2bpXc8tZqI1bT8U0Ac0DWTU/edit?usp=sharing"",""REGISTRATION!C:X""),22,FALSE)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11" s="22" t="str">
        <f>IFERROR(__xludf.DUMMYFUNCTION("IFNA(
IF(
VLOOKUP(C211,IMPORTRANGE(""https://docs.google.com/spreadsheets/d/1rG8iy-kKSFDxhVaU60GJ2bpXc8tZqI1bT8U0Ac0DWTU/edit?usp=sharing"",""REGISTRATION!C:AB""),26,FALSE)
=""No"",
""No Candy"",
""""
),
""""
)"),"")</f>
        <v/>
      </c>
      <c r="F211" s="21" t="str">
        <f>IFERROR(__xludf.DUMMYFUNCTION("IFNA(VLOOKUP(C211,IMPORTRANGE(""https://docs.google.com/spreadsheets/d/1rG8iy-kKSFDxhVaU60GJ2bpXc8tZqI1bT8U0Ac0DWTU/edit?usp=sharing"",""REGISTRATION!C:V""),18,FALSE),"""")"),"None")</f>
        <v>None</v>
      </c>
      <c r="G211" s="23" t="str">
        <f>IFERROR(__xludf.DUMMYFUNCTION("IFNA(VLOOKUP(C211,IMPORTRANGE(""https://docs.google.com/spreadsheets/d/1rG8iy-kKSFDxhVaU60GJ2bpXc8tZqI1bT8U0Ac0DWTU/edit?usp=sharing"",""REGISTRATION!C:V""),20,FALSE),"""")"),"Twice exceptional")</f>
        <v>Twice exceptional</v>
      </c>
      <c r="H211" s="23" t="str">
        <f>IFERROR(__xludf.DUMMYFUNCTION("IFNA(VLOOKUP(C211,IMPORTRANGE(""https://docs.google.com/spreadsheets/d/1rG8iy-kKSFDxhVaU60GJ2bpXc8tZqI1bT8U0Ac0DWTU/edit?usp=sharing"",""REGISTRATION!C:V""),19,FALSE),"""")"),"ADHD, autism")</f>
        <v>ADHD, autism</v>
      </c>
    </row>
    <row r="212">
      <c r="C212" s="20" t="s">
        <v>191</v>
      </c>
      <c r="D212" s="23" t="str">
        <f>IFERROR(__xludf.DUMMYFUNCTION("IFNA(
IF(
VLOOKUP(C212,IMPORTRANGE(""https://docs.google.com/spreadsheets/d/1rG8iy-kKSFDxhVaU60GJ2bpXc8tZqI1bT8U0Ac0DWTU/edit?usp=sharing"",""REGISTRATION!C:X""),22,FALSE)
=""I qualify for Free and Reduced Lunch and WOULD like lunch to be provided for my "&amp;"child."",
""Yes"",
""""
),
""""
)"),"Yes")</f>
        <v>Yes</v>
      </c>
      <c r="E212" s="22" t="str">
        <f>IFERROR(__xludf.DUMMYFUNCTION("IFNA(
IF(
VLOOKUP(C212,IMPORTRANGE(""https://docs.google.com/spreadsheets/d/1rG8iy-kKSFDxhVaU60GJ2bpXc8tZqI1bT8U0Ac0DWTU/edit?usp=sharing"",""REGISTRATION!C:AB""),26,FALSE)
=""No"",
""No Candy"",
""""
),
""""
)"),"")</f>
        <v/>
      </c>
      <c r="F212" s="23" t="str">
        <f>IFERROR(__xludf.DUMMYFUNCTION("IFNA(VLOOKUP(C212,IMPORTRANGE(""https://docs.google.com/spreadsheets/d/1rG8iy-kKSFDxhVaU60GJ2bpXc8tZqI1bT8U0Ac0DWTU/edit?usp=sharing"",""REGISTRATION!C:V""),18,FALSE),"""")"),"Animal fur")</f>
        <v>Animal fur</v>
      </c>
      <c r="G212" s="21" t="str">
        <f>IFERROR(__xludf.DUMMYFUNCTION("IFNA(VLOOKUP(C212,IMPORTRANGE(""https://docs.google.com/spreadsheets/d/1rG8iy-kKSFDxhVaU60GJ2bpXc8tZqI1bT8U0Ac0DWTU/edit?usp=sharing"",""REGISTRATION!C:V""),20,FALSE),"""")"),"")</f>
        <v/>
      </c>
      <c r="H212" s="21" t="str">
        <f>IFERROR(__xludf.DUMMYFUNCTION("IFNA(VLOOKUP(C212,IMPORTRANGE(""https://docs.google.com/spreadsheets/d/1rG8iy-kKSFDxhVaU60GJ2bpXc8tZqI1bT8U0Ac0DWTU/edit?usp=sharing"",""REGISTRATION!C:V""),19,FALSE),"""")"),"None")</f>
        <v>None</v>
      </c>
    </row>
    <row r="213">
      <c r="C213" s="20" t="s">
        <v>192</v>
      </c>
      <c r="D213" s="21" t="str">
        <f>IFERROR(__xludf.DUMMYFUNCTION("IFNA(
IF(
VLOOKUP(C213,IMPORTRANGE(""https://docs.google.com/spreadsheets/d/1rG8iy-kKSFDxhVaU60GJ2bpXc8tZqI1bT8U0Ac0DWTU/edit?usp=sharing"",""REGISTRATION!C:X""),22,FALSE)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13" s="22" t="str">
        <f>IFERROR(__xludf.DUMMYFUNCTION("IFNA(
IF(
VLOOKUP(C213,IMPORTRANGE(""https://docs.google.com/spreadsheets/d/1rG8iy-kKSFDxhVaU60GJ2bpXc8tZqI1bT8U0Ac0DWTU/edit?usp=sharing"",""REGISTRATION!C:AB""),26,FALSE)
=""No"",
""No Candy"",
""""
),
""""
)"),"")</f>
        <v/>
      </c>
      <c r="F213" s="21" t="str">
        <f>IFERROR(__xludf.DUMMYFUNCTION("IFNA(VLOOKUP(C213,IMPORTRANGE(""https://docs.google.com/spreadsheets/d/1rG8iy-kKSFDxhVaU60GJ2bpXc8tZqI1bT8U0Ac0DWTU/edit?usp=sharing"",""REGISTRATION!C:V""),18,FALSE),"""")"),"None")</f>
        <v>None</v>
      </c>
      <c r="G213" s="21" t="str">
        <f>IFERROR(__xludf.DUMMYFUNCTION("IFNA(VLOOKUP(C213,IMPORTRANGE(""https://docs.google.com/spreadsheets/d/1rG8iy-kKSFDxhVaU60GJ2bpXc8tZqI1bT8U0Ac0DWTU/edit?usp=sharing"",""REGISTRATION!C:V""),20,FALSE),"""")"),"")</f>
        <v/>
      </c>
      <c r="H213" s="23" t="str">
        <f>IFERROR(__xludf.DUMMYFUNCTION("IFNA(VLOOKUP(C213,IMPORTRANGE(""https://docs.google.com/spreadsheets/d/1rG8iy-kKSFDxhVaU60GJ2bpXc8tZqI1bT8U0Ac0DWTU/edit?usp=sharing"",""REGISTRATION!C:V""),19,FALSE),"""")"),"ADHD, takes medication")</f>
        <v>ADHD, takes medication</v>
      </c>
    </row>
    <row r="214">
      <c r="C214" s="16" t="s">
        <v>193</v>
      </c>
      <c r="D214" s="17" t="str">
        <f>IFERROR(__xludf.DUMMYFUNCTION("IFNA(
IF(
VLOOKUP(C214,IMPORTRANGE(""https://docs.google.com/spreadsheets/d/1rG8iy-kKSFDxhVaU60GJ2bpXc8tZqI1bT8U0Ac0DWTU/edit?usp=sharing"",""REGISTRATION!C:X""),22,FALSE)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14" s="18" t="str">
        <f>IFERROR(__xludf.DUMMYFUNCTION("IFNA(
IF(
VLOOKUP(C214,IMPORTRANGE(""https://docs.google.com/spreadsheets/d/1rG8iy-kKSFDxhVaU60GJ2bpXc8tZqI1bT8U0Ac0DWTU/edit?usp=sharing"",""REGISTRATION!C:AB""),26,FALSE)
=""No"",
""No Candy"",
""""
),
""""
)"),"")</f>
        <v/>
      </c>
      <c r="F214" s="19" t="str">
        <f>IFERROR(__xludf.DUMMYFUNCTION("IFNA(VLOOKUP(C214,IMPORTRANGE(""https://docs.google.com/spreadsheets/d/1rG8iy-kKSFDxhVaU60GJ2bpXc8tZqI1bT8U0Ac0DWTU/edit?usp=sharing"",""REGISTRATION!C:V""),18,FALSE),"""")"),"Tree Nuts")</f>
        <v>Tree Nuts</v>
      </c>
      <c r="G214" s="17" t="str">
        <f>IFERROR(__xludf.DUMMYFUNCTION("IFNA(VLOOKUP(C214,IMPORTRANGE(""https://docs.google.com/spreadsheets/d/1rG8iy-kKSFDxhVaU60GJ2bpXc8tZqI1bT8U0Ac0DWTU/edit?usp=sharing"",""REGISTRATION!C:V""),20,FALSE),"""")"),"")</f>
        <v/>
      </c>
      <c r="H214" s="17" t="str">
        <f>IFERROR(__xludf.DUMMYFUNCTION("IFNA(VLOOKUP(C214,IMPORTRANGE(""https://docs.google.com/spreadsheets/d/1rG8iy-kKSFDxhVaU60GJ2bpXc8tZqI1bT8U0Ac0DWTU/edit?usp=sharing"",""REGISTRATION!C:V""),19,FALSE),"""")"),"None")</f>
        <v>None</v>
      </c>
    </row>
    <row r="215">
      <c r="C215" s="20" t="s">
        <v>194</v>
      </c>
      <c r="D215" s="21" t="str">
        <f>IFERROR(__xludf.DUMMYFUNCTION("IFNA(
IF(
VLOOKUP(C215,IMPORTRANGE(""https://docs.google.com/spreadsheets/d/1rG8iy-kKSFDxhVaU60GJ2bpXc8tZqI1bT8U0Ac0DWTU/edit?usp=sharing"",""REGISTRATION!C:X""),22,FALSE)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15" s="22" t="str">
        <f>IFERROR(__xludf.DUMMYFUNCTION("IFNA(
IF(
VLOOKUP(C215,IMPORTRANGE(""https://docs.google.com/spreadsheets/d/1rG8iy-kKSFDxhVaU60GJ2bpXc8tZqI1bT8U0Ac0DWTU/edit?usp=sharing"",""REGISTRATION!C:AB""),26,FALSE)
=""No"",
""No Candy"",
""""
),
""""
)"),"")</f>
        <v/>
      </c>
      <c r="F215" s="21" t="str">
        <f>IFERROR(__xludf.DUMMYFUNCTION("IFNA(VLOOKUP(C215,IMPORTRANGE(""https://docs.google.com/spreadsheets/d/1rG8iy-kKSFDxhVaU60GJ2bpXc8tZqI1bT8U0Ac0DWTU/edit?usp=sharing"",""REGISTRATION!C:V""),18,FALSE),"""")"),"None")</f>
        <v>None</v>
      </c>
      <c r="G215" s="21" t="str">
        <f>IFERROR(__xludf.DUMMYFUNCTION("IFNA(VLOOKUP(C215,IMPORTRANGE(""https://docs.google.com/spreadsheets/d/1rG8iy-kKSFDxhVaU60GJ2bpXc8tZqI1bT8U0Ac0DWTU/edit?usp=sharing"",""REGISTRATION!C:V""),20,FALSE),"""")"),"")</f>
        <v/>
      </c>
      <c r="H215" s="21" t="str">
        <f>IFERROR(__xludf.DUMMYFUNCTION("IFNA(VLOOKUP(C215,IMPORTRANGE(""https://docs.google.com/spreadsheets/d/1rG8iy-kKSFDxhVaU60GJ2bpXc8tZqI1bT8U0Ac0DWTU/edit?usp=sharing"",""REGISTRATION!C:V""),19,FALSE),"""")"),"None")</f>
        <v>None</v>
      </c>
    </row>
    <row r="216">
      <c r="C216" s="20" t="s">
        <v>195</v>
      </c>
      <c r="D216" s="21" t="str">
        <f>IFERROR(__xludf.DUMMYFUNCTION("IFNA(
IF(
VLOOKUP(C216,IMPORTRANGE(""https://docs.google.com/spreadsheets/d/1rG8iy-kKSFDxhVaU60GJ2bpXc8tZqI1bT8U0Ac0DWTU/edit?usp=sharing"",""REGISTRATION!C:X""),22,FALSE)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16" s="22" t="str">
        <f>IFERROR(__xludf.DUMMYFUNCTION("IFNA(
IF(
VLOOKUP(C216,IMPORTRANGE(""https://docs.google.com/spreadsheets/d/1rG8iy-kKSFDxhVaU60GJ2bpXc8tZqI1bT8U0Ac0DWTU/edit?usp=sharing"",""REGISTRATION!C:AB""),26,FALSE)
=""No"",
""No Candy"",
""""
),
""""
)"),"")</f>
        <v/>
      </c>
      <c r="F216" s="21" t="str">
        <f>IFERROR(__xludf.DUMMYFUNCTION("IFNA(VLOOKUP(C216,IMPORTRANGE(""https://docs.google.com/spreadsheets/d/1rG8iy-kKSFDxhVaU60GJ2bpXc8tZqI1bT8U0Ac0DWTU/edit?usp=sharing"",""REGISTRATION!C:V""),18,FALSE),"""")"),"None")</f>
        <v>None</v>
      </c>
      <c r="G216" s="21" t="str">
        <f>IFERROR(__xludf.DUMMYFUNCTION("IFNA(VLOOKUP(C216,IMPORTRANGE(""https://docs.google.com/spreadsheets/d/1rG8iy-kKSFDxhVaU60GJ2bpXc8tZqI1bT8U0Ac0DWTU/edit?usp=sharing"",""REGISTRATION!C:V""),20,FALSE),"""")"),"")</f>
        <v/>
      </c>
      <c r="H216" s="21" t="str">
        <f>IFERROR(__xludf.DUMMYFUNCTION("IFNA(VLOOKUP(C216,IMPORTRANGE(""https://docs.google.com/spreadsheets/d/1rG8iy-kKSFDxhVaU60GJ2bpXc8tZqI1bT8U0Ac0DWTU/edit?usp=sharing"",""REGISTRATION!C:V""),19,FALSE),"""")"),"None")</f>
        <v>None</v>
      </c>
    </row>
    <row r="217">
      <c r="C217" s="20"/>
      <c r="D217" s="21" t="str">
        <f>IFERROR(__xludf.DUMMYFUNCTION("IFNA(
IF(
VLOOKUP(C217,IMPORTRANGE(""https://docs.google.com/spreadsheets/d/1rG8iy-kKSFDxhVaU60GJ2bpXc8tZqI1bT8U0Ac0DWTU/edit?usp=sharing"",""REGISTRATION!C:X""),22,FALSE)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17" s="22" t="str">
        <f>IFERROR(__xludf.DUMMYFUNCTION("IFNA(
IF(
VLOOKUP(C217,IMPORTRANGE(""https://docs.google.com/spreadsheets/d/1rG8iy-kKSFDxhVaU60GJ2bpXc8tZqI1bT8U0Ac0DWTU/edit?usp=sharing"",""REGISTRATION!C:AB""),26,FALSE)
=""No"",
""No Candy"",
""""
),
""""
)"),"")</f>
        <v/>
      </c>
      <c r="F217" s="21" t="str">
        <f>IFERROR(__xludf.DUMMYFUNCTION("IFNA(VLOOKUP(C217,IMPORTRANGE(""https://docs.google.com/spreadsheets/d/1rG8iy-kKSFDxhVaU60GJ2bpXc8tZqI1bT8U0Ac0DWTU/edit?usp=sharing"",""REGISTRATION!C:V""),18,FALSE),"""")"),"")</f>
        <v/>
      </c>
      <c r="G217" s="21" t="str">
        <f>IFERROR(__xludf.DUMMYFUNCTION("IFNA(VLOOKUP(C217,IMPORTRANGE(""https://docs.google.com/spreadsheets/d/1rG8iy-kKSFDxhVaU60GJ2bpXc8tZqI1bT8U0Ac0DWTU/edit?usp=sharing"",""REGISTRATION!C:V""),20,FALSE),"""")"),"")</f>
        <v/>
      </c>
      <c r="H217" s="21" t="str">
        <f>IFERROR(__xludf.DUMMYFUNCTION("IFNA(VLOOKUP(C217,IMPORTRANGE(""https://docs.google.com/spreadsheets/d/1rG8iy-kKSFDxhVaU60GJ2bpXc8tZqI1bT8U0Ac0DWTU/edit?usp=sharing"",""REGISTRATION!C:V""),19,FALSE),"""")"),"")</f>
        <v/>
      </c>
    </row>
    <row r="218">
      <c r="C218" s="20"/>
      <c r="D218" s="21" t="str">
        <f>IFERROR(__xludf.DUMMYFUNCTION("IFNA(
IF(
VLOOKUP(C218,IMPORTRANGE(""https://docs.google.com/spreadsheets/d/1rG8iy-kKSFDxhVaU60GJ2bpXc8tZqI1bT8U0Ac0DWTU/edit?usp=sharing"",""REGISTRATION!C:X""),22,FALSE)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18" s="22" t="str">
        <f>IFERROR(__xludf.DUMMYFUNCTION("IFNA(
IF(
VLOOKUP(C218,IMPORTRANGE(""https://docs.google.com/spreadsheets/d/1rG8iy-kKSFDxhVaU60GJ2bpXc8tZqI1bT8U0Ac0DWTU/edit?usp=sharing"",""REGISTRATION!C:AB""),26,FALSE)
=""No"",
""No Candy"",
""""
),
""""
)"),"")</f>
        <v/>
      </c>
      <c r="F218" s="21" t="str">
        <f>IFERROR(__xludf.DUMMYFUNCTION("IFNA(VLOOKUP(C218,IMPORTRANGE(""https://docs.google.com/spreadsheets/d/1rG8iy-kKSFDxhVaU60GJ2bpXc8tZqI1bT8U0Ac0DWTU/edit?usp=sharing"",""REGISTRATION!C:V""),18,FALSE),"""")"),"")</f>
        <v/>
      </c>
      <c r="G218" s="21" t="str">
        <f>IFERROR(__xludf.DUMMYFUNCTION("IFNA(VLOOKUP(C218,IMPORTRANGE(""https://docs.google.com/spreadsheets/d/1rG8iy-kKSFDxhVaU60GJ2bpXc8tZqI1bT8U0Ac0DWTU/edit?usp=sharing"",""REGISTRATION!C:V""),20,FALSE),"""")"),"")</f>
        <v/>
      </c>
      <c r="H218" s="21" t="str">
        <f>IFERROR(__xludf.DUMMYFUNCTION("IFNA(VLOOKUP(C218,IMPORTRANGE(""https://docs.google.com/spreadsheets/d/1rG8iy-kKSFDxhVaU60GJ2bpXc8tZqI1bT8U0Ac0DWTU/edit?usp=sharing"",""REGISTRATION!C:V""),19,FALSE),"""")"),"")</f>
        <v/>
      </c>
    </row>
    <row r="219">
      <c r="C219" s="20"/>
      <c r="D219" s="21" t="str">
        <f>IFERROR(__xludf.DUMMYFUNCTION("IFNA(
IF(
VLOOKUP(C219,IMPORTRANGE(""https://docs.google.com/spreadsheets/d/1rG8iy-kKSFDxhVaU60GJ2bpXc8tZqI1bT8U0Ac0DWTU/edit?usp=sharing"",""REGISTRATION!C:X""),22,FALSE)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19" s="22" t="str">
        <f>IFERROR(__xludf.DUMMYFUNCTION("IFNA(
IF(
VLOOKUP(C219,IMPORTRANGE(""https://docs.google.com/spreadsheets/d/1rG8iy-kKSFDxhVaU60GJ2bpXc8tZqI1bT8U0Ac0DWTU/edit?usp=sharing"",""REGISTRATION!C:AB""),26,FALSE)
=""No"",
""No Candy"",
""""
),
""""
)"),"")</f>
        <v/>
      </c>
      <c r="F219" s="21" t="str">
        <f>IFERROR(__xludf.DUMMYFUNCTION("IFNA(VLOOKUP(C219,IMPORTRANGE(""https://docs.google.com/spreadsheets/d/1rG8iy-kKSFDxhVaU60GJ2bpXc8tZqI1bT8U0Ac0DWTU/edit?usp=sharing"",""REGISTRATION!C:V""),18,FALSE),"""")"),"")</f>
        <v/>
      </c>
      <c r="G219" s="21" t="str">
        <f>IFERROR(__xludf.DUMMYFUNCTION("IFNA(VLOOKUP(C219,IMPORTRANGE(""https://docs.google.com/spreadsheets/d/1rG8iy-kKSFDxhVaU60GJ2bpXc8tZqI1bT8U0Ac0DWTU/edit?usp=sharing"",""REGISTRATION!C:V""),20,FALSE),"""")"),"")</f>
        <v/>
      </c>
      <c r="H219" s="21" t="str">
        <f>IFERROR(__xludf.DUMMYFUNCTION("IFNA(VLOOKUP(C219,IMPORTRANGE(""https://docs.google.com/spreadsheets/d/1rG8iy-kKSFDxhVaU60GJ2bpXc8tZqI1bT8U0Ac0DWTU/edit?usp=sharing"",""REGISTRATION!C:V""),19,FALSE),"""")"),"")</f>
        <v/>
      </c>
    </row>
    <row r="220">
      <c r="C220" s="20"/>
      <c r="D220" s="21" t="str">
        <f>IFERROR(__xludf.DUMMYFUNCTION("IFNA(
IF(
VLOOKUP(C220,IMPORTRANGE(""https://docs.google.com/spreadsheets/d/1rG8iy-kKSFDxhVaU60GJ2bpXc8tZqI1bT8U0Ac0DWTU/edit?usp=sharing"",""REGISTRATION!C:X""),22,FALSE)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20" s="22" t="str">
        <f>IFERROR(__xludf.DUMMYFUNCTION("IFNA(
IF(
VLOOKUP(C220,IMPORTRANGE(""https://docs.google.com/spreadsheets/d/1rG8iy-kKSFDxhVaU60GJ2bpXc8tZqI1bT8U0Ac0DWTU/edit?usp=sharing"",""REGISTRATION!C:AB""),26,FALSE)
=""No"",
""No Candy"",
""""
),
""""
)"),"")</f>
        <v/>
      </c>
      <c r="F220" s="21" t="str">
        <f>IFERROR(__xludf.DUMMYFUNCTION("IFNA(VLOOKUP(C220,IMPORTRANGE(""https://docs.google.com/spreadsheets/d/1rG8iy-kKSFDxhVaU60GJ2bpXc8tZqI1bT8U0Ac0DWTU/edit?usp=sharing"",""REGISTRATION!C:V""),18,FALSE),"""")"),"")</f>
        <v/>
      </c>
      <c r="G220" s="21" t="str">
        <f>IFERROR(__xludf.DUMMYFUNCTION("IFNA(VLOOKUP(C220,IMPORTRANGE(""https://docs.google.com/spreadsheets/d/1rG8iy-kKSFDxhVaU60GJ2bpXc8tZqI1bT8U0Ac0DWTU/edit?usp=sharing"",""REGISTRATION!C:V""),20,FALSE),"""")"),"")</f>
        <v/>
      </c>
      <c r="H220" s="21" t="str">
        <f>IFERROR(__xludf.DUMMYFUNCTION("IFNA(VLOOKUP(C220,IMPORTRANGE(""https://docs.google.com/spreadsheets/d/1rG8iy-kKSFDxhVaU60GJ2bpXc8tZqI1bT8U0Ac0DWTU/edit?usp=sharing"",""REGISTRATION!C:V""),19,FALSE),"""")"),"")</f>
        <v/>
      </c>
    </row>
    <row r="221">
      <c r="C221" s="20"/>
      <c r="D221" s="21" t="str">
        <f>IFERROR(__xludf.DUMMYFUNCTION("IFNA(
IF(
VLOOKUP(C221,IMPORTRANGE(""https://docs.google.com/spreadsheets/d/1rG8iy-kKSFDxhVaU60GJ2bpXc8tZqI1bT8U0Ac0DWTU/edit?usp=sharing"",""REGISTRATION!C:X""),22,FALSE)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21" s="22" t="str">
        <f>IFERROR(__xludf.DUMMYFUNCTION("IFNA(
IF(
VLOOKUP(C221,IMPORTRANGE(""https://docs.google.com/spreadsheets/d/1rG8iy-kKSFDxhVaU60GJ2bpXc8tZqI1bT8U0Ac0DWTU/edit?usp=sharing"",""REGISTRATION!C:AB""),26,FALSE)
=""No"",
""No Candy"",
""""
),
""""
)"),"")</f>
        <v/>
      </c>
      <c r="F221" s="21" t="str">
        <f>IFERROR(__xludf.DUMMYFUNCTION("IFNA(VLOOKUP(C221,IMPORTRANGE(""https://docs.google.com/spreadsheets/d/1rG8iy-kKSFDxhVaU60GJ2bpXc8tZqI1bT8U0Ac0DWTU/edit?usp=sharing"",""REGISTRATION!C:V""),18,FALSE),"""")"),"")</f>
        <v/>
      </c>
      <c r="G221" s="21" t="str">
        <f>IFERROR(__xludf.DUMMYFUNCTION("IFNA(VLOOKUP(C221,IMPORTRANGE(""https://docs.google.com/spreadsheets/d/1rG8iy-kKSFDxhVaU60GJ2bpXc8tZqI1bT8U0Ac0DWTU/edit?usp=sharing"",""REGISTRATION!C:V""),20,FALSE),"""")"),"")</f>
        <v/>
      </c>
      <c r="H221" s="21" t="str">
        <f>IFERROR(__xludf.DUMMYFUNCTION("IFNA(VLOOKUP(C221,IMPORTRANGE(""https://docs.google.com/spreadsheets/d/1rG8iy-kKSFDxhVaU60GJ2bpXc8tZqI1bT8U0Ac0DWTU/edit?usp=sharing"",""REGISTRATION!C:V""),19,FALSE),"""")"),"")</f>
        <v/>
      </c>
    </row>
    <row r="222">
      <c r="C222" s="20"/>
      <c r="D222" s="21" t="str">
        <f>IFERROR(__xludf.DUMMYFUNCTION("IFNA(
IF(
VLOOKUP(C222,IMPORTRANGE(""https://docs.google.com/spreadsheets/d/1rG8iy-kKSFDxhVaU60GJ2bpXc8tZqI1bT8U0Ac0DWTU/edit?usp=sharing"",""REGISTRATION!C:X""),22,FALSE)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22" s="22" t="str">
        <f>IFERROR(__xludf.DUMMYFUNCTION("IFNA(
IF(
VLOOKUP(C222,IMPORTRANGE(""https://docs.google.com/spreadsheets/d/1rG8iy-kKSFDxhVaU60GJ2bpXc8tZqI1bT8U0Ac0DWTU/edit?usp=sharing"",""REGISTRATION!C:AB""),26,FALSE)
=""No"",
""No Candy"",
""""
),
""""
)"),"")</f>
        <v/>
      </c>
      <c r="F222" s="21" t="str">
        <f>IFERROR(__xludf.DUMMYFUNCTION("IFNA(VLOOKUP(C222,IMPORTRANGE(""https://docs.google.com/spreadsheets/d/1rG8iy-kKSFDxhVaU60GJ2bpXc8tZqI1bT8U0Ac0DWTU/edit?usp=sharing"",""REGISTRATION!C:V""),18,FALSE),"""")"),"")</f>
        <v/>
      </c>
      <c r="G222" s="21" t="str">
        <f>IFERROR(__xludf.DUMMYFUNCTION("IFNA(VLOOKUP(C222,IMPORTRANGE(""https://docs.google.com/spreadsheets/d/1rG8iy-kKSFDxhVaU60GJ2bpXc8tZqI1bT8U0Ac0DWTU/edit?usp=sharing"",""REGISTRATION!C:V""),20,FALSE),"""")"),"")</f>
        <v/>
      </c>
      <c r="H222" s="21" t="str">
        <f>IFERROR(__xludf.DUMMYFUNCTION("IFNA(VLOOKUP(C222,IMPORTRANGE(""https://docs.google.com/spreadsheets/d/1rG8iy-kKSFDxhVaU60GJ2bpXc8tZqI1bT8U0Ac0DWTU/edit?usp=sharing"",""REGISTRATION!C:V""),19,FALSE),"""")"),"")</f>
        <v/>
      </c>
    </row>
    <row r="223">
      <c r="C223" s="20"/>
      <c r="D223" s="21" t="str">
        <f>IFERROR(__xludf.DUMMYFUNCTION("IFNA(
IF(
VLOOKUP(C223,IMPORTRANGE(""https://docs.google.com/spreadsheets/d/1rG8iy-kKSFDxhVaU60GJ2bpXc8tZqI1bT8U0Ac0DWTU/edit?usp=sharing"",""REGISTRATION!C:X""),22,FALSE)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23" s="22" t="str">
        <f>IFERROR(__xludf.DUMMYFUNCTION("IFNA(
IF(
VLOOKUP(C223,IMPORTRANGE(""https://docs.google.com/spreadsheets/d/1rG8iy-kKSFDxhVaU60GJ2bpXc8tZqI1bT8U0Ac0DWTU/edit?usp=sharing"",""REGISTRATION!C:AB""),26,FALSE)
=""No"",
""No Candy"",
""""
),
""""
)"),"")</f>
        <v/>
      </c>
      <c r="F223" s="21" t="str">
        <f>IFERROR(__xludf.DUMMYFUNCTION("IFNA(VLOOKUP(C223,IMPORTRANGE(""https://docs.google.com/spreadsheets/d/1rG8iy-kKSFDxhVaU60GJ2bpXc8tZqI1bT8U0Ac0DWTU/edit?usp=sharing"",""REGISTRATION!C:V""),18,FALSE),"""")"),"")</f>
        <v/>
      </c>
      <c r="G223" s="21" t="str">
        <f>IFERROR(__xludf.DUMMYFUNCTION("IFNA(VLOOKUP(C223,IMPORTRANGE(""https://docs.google.com/spreadsheets/d/1rG8iy-kKSFDxhVaU60GJ2bpXc8tZqI1bT8U0Ac0DWTU/edit?usp=sharing"",""REGISTRATION!C:V""),20,FALSE),"""")"),"")</f>
        <v/>
      </c>
      <c r="H223" s="21" t="str">
        <f>IFERROR(__xludf.DUMMYFUNCTION("IFNA(VLOOKUP(C223,IMPORTRANGE(""https://docs.google.com/spreadsheets/d/1rG8iy-kKSFDxhVaU60GJ2bpXc8tZqI1bT8U0Ac0DWTU/edit?usp=sharing"",""REGISTRATION!C:V""),19,FALSE),"""")"),"")</f>
        <v/>
      </c>
    </row>
    <row r="224">
      <c r="A224" s="30" t="s">
        <v>196</v>
      </c>
      <c r="B224" s="30" t="s">
        <v>197</v>
      </c>
      <c r="C224" s="31" t="s">
        <v>198</v>
      </c>
      <c r="D224" s="49" t="str">
        <f>IFERROR(__xludf.DUMMYFUNCTION("IFNA(
IF(
VLOOKUP(C224,IMPORTRANGE(""https://docs.google.com/spreadsheets/d/1rG8iy-kKSFDxhVaU60GJ2bpXc8tZqI1bT8U0Ac0DWTU/edit?usp=sharing"",""REGISTRATION!C:X""),22,FALSE)
=""I qualify for Free and Reduced Lunch and WOULD like lunch to be provided for my "&amp;"child."",
""Yes"",
""""
),
""""
)"),"Yes")</f>
        <v>Yes</v>
      </c>
      <c r="E224" s="33" t="str">
        <f>IFERROR(__xludf.DUMMYFUNCTION("IFNA(
IF(
VLOOKUP(C224,IMPORTRANGE(""https://docs.google.com/spreadsheets/d/1rG8iy-kKSFDxhVaU60GJ2bpXc8tZqI1bT8U0Ac0DWTU/edit?usp=sharing"",""REGISTRATION!C:AB""),26,FALSE)
=""No"",
""No Candy"",
""""
),
""""
)"),"")</f>
        <v/>
      </c>
      <c r="F224" s="32" t="str">
        <f>IFERROR(__xludf.DUMMYFUNCTION("IFNA(VLOOKUP(C224,IMPORTRANGE(""https://docs.google.com/spreadsheets/d/1rG8iy-kKSFDxhVaU60GJ2bpXc8tZqI1bT8U0Ac0DWTU/edit?usp=sharing"",""REGISTRATION!C:V""),18,FALSE),"""")"),"None")</f>
        <v>None</v>
      </c>
      <c r="G224" s="32" t="str">
        <f>IFERROR(__xludf.DUMMYFUNCTION("IFNA(VLOOKUP(C224,IMPORTRANGE(""https://docs.google.com/spreadsheets/d/1rG8iy-kKSFDxhVaU60GJ2bpXc8tZqI1bT8U0Ac0DWTU/edit?usp=sharing"",""REGISTRATION!C:V""),20,FALSE),"""")"),"")</f>
        <v/>
      </c>
      <c r="H224" s="32" t="str">
        <f>IFERROR(__xludf.DUMMYFUNCTION("IFNA(VLOOKUP(C224,IMPORTRANGE(""https://docs.google.com/spreadsheets/d/1rG8iy-kKSFDxhVaU60GJ2bpXc8tZqI1bT8U0Ac0DWTU/edit?usp=sharing"",""REGISTRATION!C:V""),19,FALSE),"""")"),"None")</f>
        <v>None</v>
      </c>
    </row>
    <row r="225">
      <c r="C225" s="24" t="s">
        <v>199</v>
      </c>
      <c r="D225" s="27" t="str">
        <f>IFERROR(__xludf.DUMMYFUNCTION("IFNA(
IF(
VLOOKUP(C225,IMPORTRANGE(""https://docs.google.com/spreadsheets/d/1rG8iy-kKSFDxhVaU60GJ2bpXc8tZqI1bT8U0Ac0DWTU/edit?usp=sharing"",""REGISTRATION!C:X""),22,FALSE)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25" s="26" t="str">
        <f>IFERROR(__xludf.DUMMYFUNCTION("IFNA(
IF(
VLOOKUP(C225,IMPORTRANGE(""https://docs.google.com/spreadsheets/d/1rG8iy-kKSFDxhVaU60GJ2bpXc8tZqI1bT8U0Ac0DWTU/edit?usp=sharing"",""REGISTRATION!C:AB""),26,FALSE)
=""No"",
""No Candy"",
""""
),
""""
)"),"")</f>
        <v/>
      </c>
      <c r="F225" s="25" t="str">
        <f>IFERROR(__xludf.DUMMYFUNCTION("IFNA(VLOOKUP(C225,IMPORTRANGE(""https://docs.google.com/spreadsheets/d/1rG8iy-kKSFDxhVaU60GJ2bpXc8tZqI1bT8U0Ac0DWTU/edit?usp=sharing"",""REGISTRATION!C:V""),18,FALSE),"""")"),"None")</f>
        <v>None</v>
      </c>
      <c r="G225" s="25" t="str">
        <f>IFERROR(__xludf.DUMMYFUNCTION("IFNA(VLOOKUP(C225,IMPORTRANGE(""https://docs.google.com/spreadsheets/d/1rG8iy-kKSFDxhVaU60GJ2bpXc8tZqI1bT8U0Ac0DWTU/edit?usp=sharing"",""REGISTRATION!C:V""),20,FALSE),"""")"),"Very active.")</f>
        <v>Very active.</v>
      </c>
      <c r="H225" s="25" t="str">
        <f>IFERROR(__xludf.DUMMYFUNCTION("IFNA(VLOOKUP(C225,IMPORTRANGE(""https://docs.google.com/spreadsheets/d/1rG8iy-kKSFDxhVaU60GJ2bpXc8tZqI1bT8U0Ac0DWTU/edit?usp=sharing"",""REGISTRATION!C:V""),19,FALSE),"""")"),"None")</f>
        <v>None</v>
      </c>
    </row>
    <row r="226">
      <c r="C226" s="31" t="s">
        <v>200</v>
      </c>
      <c r="D226" s="49" t="str">
        <f>IFERROR(__xludf.DUMMYFUNCTION("IFNA(
IF(
VLOOKUP(C226,IMPORTRANGE(""https://docs.google.com/spreadsheets/d/1rG8iy-kKSFDxhVaU60GJ2bpXc8tZqI1bT8U0Ac0DWTU/edit?usp=sharing"",""REGISTRATION!C:X""),22,FALSE)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26" s="33" t="str">
        <f>IFERROR(__xludf.DUMMYFUNCTION("IFNA(
IF(
VLOOKUP(C226,IMPORTRANGE(""https://docs.google.com/spreadsheets/d/1rG8iy-kKSFDxhVaU60GJ2bpXc8tZqI1bT8U0Ac0DWTU/edit?usp=sharing"",""REGISTRATION!C:AB""),26,FALSE)
=""No"",
""No Candy"",
""""
),
""""
)"),"")</f>
        <v/>
      </c>
      <c r="F226" s="32" t="str">
        <f>IFERROR(__xludf.DUMMYFUNCTION("IFNA(VLOOKUP(C226,IMPORTRANGE(""https://docs.google.com/spreadsheets/d/1rG8iy-kKSFDxhVaU60GJ2bpXc8tZqI1bT8U0Ac0DWTU/edit?usp=sharing"",""REGISTRATION!C:V""),18,FALSE),"""")"),"None")</f>
        <v>None</v>
      </c>
      <c r="G226" s="32" t="str">
        <f>IFERROR(__xludf.DUMMYFUNCTION("IFNA(VLOOKUP(C226,IMPORTRANGE(""https://docs.google.com/spreadsheets/d/1rG8iy-kKSFDxhVaU60GJ2bpXc8tZqI1bT8U0Ac0DWTU/edit?usp=sharing"",""REGISTRATION!C:V""),20,FALSE),"""")"),"")</f>
        <v/>
      </c>
      <c r="H226" s="32" t="str">
        <f>IFERROR(__xludf.DUMMYFUNCTION("IFNA(VLOOKUP(C226,IMPORTRANGE(""https://docs.google.com/spreadsheets/d/1rG8iy-kKSFDxhVaU60GJ2bpXc8tZqI1bT8U0Ac0DWTU/edit?usp=sharing"",""REGISTRATION!C:V""),19,FALSE),"""")"),"None")</f>
        <v>None</v>
      </c>
    </row>
    <row r="227">
      <c r="C227" s="31" t="s">
        <v>201</v>
      </c>
      <c r="D227" s="49" t="str">
        <f>IFERROR(__xludf.DUMMYFUNCTION("IFNA(
IF(
VLOOKUP(C227,IMPORTRANGE(""https://docs.google.com/spreadsheets/d/1rG8iy-kKSFDxhVaU60GJ2bpXc8tZqI1bT8U0Ac0DWTU/edit?usp=sharing"",""REGISTRATION!C:X""),22,FALSE)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27" s="33" t="str">
        <f>IFERROR(__xludf.DUMMYFUNCTION("IFNA(
IF(
VLOOKUP(C227,IMPORTRANGE(""https://docs.google.com/spreadsheets/d/1rG8iy-kKSFDxhVaU60GJ2bpXc8tZqI1bT8U0Ac0DWTU/edit?usp=sharing"",""REGISTRATION!C:AB""),26,FALSE)
=""No"",
""No Candy"",
""""
),
""""
)"),"")</f>
        <v/>
      </c>
      <c r="F227" s="49" t="str">
        <f>IFERROR(__xludf.DUMMYFUNCTION("IFNA(VLOOKUP(C227,IMPORTRANGE(""https://docs.google.com/spreadsheets/d/1rG8iy-kKSFDxhVaU60GJ2bpXc8tZqI1bT8U0Ac0DWTU/edit?usp=sharing"",""REGISTRATION!C:V""),18,FALSE),"""")"),"Penicillin ")</f>
        <v>Penicillin </v>
      </c>
      <c r="G227" s="32" t="str">
        <f>IFERROR(__xludf.DUMMYFUNCTION("IFNA(VLOOKUP(C227,IMPORTRANGE(""https://docs.google.com/spreadsheets/d/1rG8iy-kKSFDxhVaU60GJ2bpXc8tZqI1bT8U0Ac0DWTU/edit?usp=sharing"",""REGISTRATION!C:V""),20,FALSE),"""")"),"")</f>
        <v/>
      </c>
      <c r="H227" s="49" t="str">
        <f>IFERROR(__xludf.DUMMYFUNCTION("IFNA(VLOOKUP(C227,IMPORTRANGE(""https://docs.google.com/spreadsheets/d/1rG8iy-kKSFDxhVaU60GJ2bpXc8tZqI1bT8U0Ac0DWTU/edit?usp=sharing"",""REGISTRATION!C:V""),19,FALSE),"""")"),"Very Nearsighted ")</f>
        <v>Very Nearsighted </v>
      </c>
    </row>
    <row r="228">
      <c r="C228" s="31" t="s">
        <v>202</v>
      </c>
      <c r="D228" s="49" t="str">
        <f>IFERROR(__xludf.DUMMYFUNCTION("IFNA(
IF(
VLOOKUP(C228,IMPORTRANGE(""https://docs.google.com/spreadsheets/d/1rG8iy-kKSFDxhVaU60GJ2bpXc8tZqI1bT8U0Ac0DWTU/edit?usp=sharing"",""REGISTRATION!C:X""),22,FALSE)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28" s="33" t="str">
        <f>IFERROR(__xludf.DUMMYFUNCTION("IFNA(
IF(
VLOOKUP(C228,IMPORTRANGE(""https://docs.google.com/spreadsheets/d/1rG8iy-kKSFDxhVaU60GJ2bpXc8tZqI1bT8U0Ac0DWTU/edit?usp=sharing"",""REGISTRATION!C:AB""),26,FALSE)
=""No"",
""No Candy"",
""""
),
""""
)"),"")</f>
        <v/>
      </c>
      <c r="F228" s="32" t="str">
        <f>IFERROR(__xludf.DUMMYFUNCTION("IFNA(VLOOKUP(C228,IMPORTRANGE(""https://docs.google.com/spreadsheets/d/1rG8iy-kKSFDxhVaU60GJ2bpXc8tZqI1bT8U0Ac0DWTU/edit?usp=sharing"",""REGISTRATION!C:V""),18,FALSE),"""")"),"None")</f>
        <v>None</v>
      </c>
      <c r="G228" s="32" t="str">
        <f>IFERROR(__xludf.DUMMYFUNCTION("IFNA(VLOOKUP(C228,IMPORTRANGE(""https://docs.google.com/spreadsheets/d/1rG8iy-kKSFDxhVaU60GJ2bpXc8tZqI1bT8U0Ac0DWTU/edit?usp=sharing"",""REGISTRATION!C:V""),20,FALSE),"""")"),"")</f>
        <v/>
      </c>
      <c r="H228" s="32" t="str">
        <f>IFERROR(__xludf.DUMMYFUNCTION("IFNA(VLOOKUP(C228,IMPORTRANGE(""https://docs.google.com/spreadsheets/d/1rG8iy-kKSFDxhVaU60GJ2bpXc8tZqI1bT8U0Ac0DWTU/edit?usp=sharing"",""REGISTRATION!C:V""),19,FALSE),"""")"),"None")</f>
        <v>None</v>
      </c>
    </row>
    <row r="229">
      <c r="C229" s="31" t="s">
        <v>203</v>
      </c>
      <c r="D229" s="49" t="str">
        <f>IFERROR(__xludf.DUMMYFUNCTION("IFNA(
IF(
VLOOKUP(C229,IMPORTRANGE(""https://docs.google.com/spreadsheets/d/1rG8iy-kKSFDxhVaU60GJ2bpXc8tZqI1bT8U0Ac0DWTU/edit?usp=sharing"",""REGISTRATION!C:X""),22,FALSE)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29" s="33" t="str">
        <f>IFERROR(__xludf.DUMMYFUNCTION("IFNA(
IF(
VLOOKUP(C229,IMPORTRANGE(""https://docs.google.com/spreadsheets/d/1rG8iy-kKSFDxhVaU60GJ2bpXc8tZqI1bT8U0Ac0DWTU/edit?usp=sharing"",""REGISTRATION!C:AB""),26,FALSE)
=""No"",
""No Candy"",
""""
),
""""
)"),"")</f>
        <v/>
      </c>
      <c r="F229" s="49" t="str">
        <f>IFERROR(__xludf.DUMMYFUNCTION("IFNA(VLOOKUP(C229,IMPORTRANGE(""https://docs.google.com/spreadsheets/d/1rG8iy-kKSFDxhVaU60GJ2bpXc8tZqI1bT8U0Ac0DWTU/edit?usp=sharing"",""REGISTRATION!C:V""),18,FALSE),"""")"),"Allergic to cats and dogs")</f>
        <v>Allergic to cats and dogs</v>
      </c>
      <c r="G229" s="32" t="str">
        <f>IFERROR(__xludf.DUMMYFUNCTION("IFNA(VLOOKUP(C229,IMPORTRANGE(""https://docs.google.com/spreadsheets/d/1rG8iy-kKSFDxhVaU60GJ2bpXc8tZqI1bT8U0Ac0DWTU/edit?usp=sharing"",""REGISTRATION!C:V""),20,FALSE),"""")"),"")</f>
        <v/>
      </c>
      <c r="H229" s="32" t="str">
        <f>IFERROR(__xludf.DUMMYFUNCTION("IFNA(VLOOKUP(C229,IMPORTRANGE(""https://docs.google.com/spreadsheets/d/1rG8iy-kKSFDxhVaU60GJ2bpXc8tZqI1bT8U0Ac0DWTU/edit?usp=sharing"",""REGISTRATION!C:V""),19,FALSE),"""")"),"None")</f>
        <v>None</v>
      </c>
    </row>
    <row r="230">
      <c r="C230" s="24" t="s">
        <v>204</v>
      </c>
      <c r="D230" s="27" t="str">
        <f>IFERROR(__xludf.DUMMYFUNCTION("IFNA(
IF(
VLOOKUP(C230,IMPORTRANGE(""https://docs.google.com/spreadsheets/d/1rG8iy-kKSFDxhVaU60GJ2bpXc8tZqI1bT8U0Ac0DWTU/edit?usp=sharing"",""REGISTRATION!C:X""),22,FALSE)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30" s="26" t="str">
        <f>IFERROR(__xludf.DUMMYFUNCTION("IFNA(
IF(
VLOOKUP(C230,IMPORTRANGE(""https://docs.google.com/spreadsheets/d/1rG8iy-kKSFDxhVaU60GJ2bpXc8tZqI1bT8U0Ac0DWTU/edit?usp=sharing"",""REGISTRATION!C:AB""),26,FALSE)
=""No"",
""No Candy"",
""""
),
""""
)"),"")</f>
        <v/>
      </c>
      <c r="F230" s="25" t="str">
        <f>IFERROR(__xludf.DUMMYFUNCTION("IFNA(VLOOKUP(C230,IMPORTRANGE(""https://docs.google.com/spreadsheets/d/1rG8iy-kKSFDxhVaU60GJ2bpXc8tZqI1bT8U0Ac0DWTU/edit?usp=sharing"",""REGISTRATION!C:V""),18,FALSE),"""")"),"None")</f>
        <v>None</v>
      </c>
      <c r="G230" s="25" t="str">
        <f>IFERROR(__xludf.DUMMYFUNCTION("IFNA(VLOOKUP(C230,IMPORTRANGE(""https://docs.google.com/spreadsheets/d/1rG8iy-kKSFDxhVaU60GJ2bpXc8tZqI1bT8U0Ac0DWTU/edit?usp=sharing"",""REGISTRATION!C:V""),20,FALSE),"""")"),"")</f>
        <v/>
      </c>
      <c r="H230" s="27" t="str">
        <f>IFERROR(__xludf.DUMMYFUNCTION("IFNA(VLOOKUP(C230,IMPORTRANGE(""https://docs.google.com/spreadsheets/d/1rG8iy-kKSFDxhVaU60GJ2bpXc8tZqI1bT8U0Ac0DWTU/edit?usp=sharing"",""REGISTRATION!C:V""),19,FALSE),"""")"),"ASD")</f>
        <v>ASD</v>
      </c>
    </row>
    <row r="231">
      <c r="C231" s="24" t="s">
        <v>205</v>
      </c>
      <c r="D231" s="27" t="str">
        <f>IFERROR(__xludf.DUMMYFUNCTION("IFNA(
IF(
VLOOKUP(C231,IMPORTRANGE(""https://docs.google.com/spreadsheets/d/1rG8iy-kKSFDxhVaU60GJ2bpXc8tZqI1bT8U0Ac0DWTU/edit?usp=sharing"",""REGISTRATION!C:X""),22,FALSE)
=""I qualify for Free and Reduced Lunch and WOULD like lunch to be provided for my "&amp;"child."",
""Yes"",
""""
),
""""
)"),"Yes")</f>
        <v>Yes</v>
      </c>
      <c r="E231" s="26" t="str">
        <f>IFERROR(__xludf.DUMMYFUNCTION("IFNA(
IF(
VLOOKUP(C231,IMPORTRANGE(""https://docs.google.com/spreadsheets/d/1rG8iy-kKSFDxhVaU60GJ2bpXc8tZqI1bT8U0Ac0DWTU/edit?usp=sharing"",""REGISTRATION!C:AB""),26,FALSE)
=""No"",
""No Candy"",
""""
),
""""
)"),"")</f>
        <v/>
      </c>
      <c r="F231" s="25" t="str">
        <f>IFERROR(__xludf.DUMMYFUNCTION("IFNA(VLOOKUP(C231,IMPORTRANGE(""https://docs.google.com/spreadsheets/d/1rG8iy-kKSFDxhVaU60GJ2bpXc8tZqI1bT8U0Ac0DWTU/edit?usp=sharing"",""REGISTRATION!C:V""),18,FALSE),"""")"),"None")</f>
        <v>None</v>
      </c>
      <c r="G231" s="25" t="str">
        <f>IFERROR(__xludf.DUMMYFUNCTION("IFNA(VLOOKUP(C231,IMPORTRANGE(""https://docs.google.com/spreadsheets/d/1rG8iy-kKSFDxhVaU60GJ2bpXc8tZqI1bT8U0Ac0DWTU/edit?usp=sharing"",""REGISTRATION!C:V""),20,FALSE),"""")"),"")</f>
        <v/>
      </c>
      <c r="H231" s="25" t="str">
        <f>IFERROR(__xludf.DUMMYFUNCTION("IFNA(VLOOKUP(C231,IMPORTRANGE(""https://docs.google.com/spreadsheets/d/1rG8iy-kKSFDxhVaU60GJ2bpXc8tZqI1bT8U0Ac0DWTU/edit?usp=sharing"",""REGISTRATION!C:V""),19,FALSE),"""")"),"None")</f>
        <v>None</v>
      </c>
    </row>
    <row r="232">
      <c r="C232" s="31" t="s">
        <v>206</v>
      </c>
      <c r="D232" s="49" t="str">
        <f>IFERROR(__xludf.DUMMYFUNCTION("IFNA(
IF(
VLOOKUP(C232,IMPORTRANGE(""https://docs.google.com/spreadsheets/d/1rG8iy-kKSFDxhVaU60GJ2bpXc8tZqI1bT8U0Ac0DWTU/edit?usp=sharing"",""REGISTRATION!C:X""),22,FALSE)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32" s="33" t="str">
        <f>IFERROR(__xludf.DUMMYFUNCTION("IFNA(
IF(
VLOOKUP(C232,IMPORTRANGE(""https://docs.google.com/spreadsheets/d/1rG8iy-kKSFDxhVaU60GJ2bpXc8tZqI1bT8U0Ac0DWTU/edit?usp=sharing"",""REGISTRATION!C:AB""),26,FALSE)
=""No"",
""No Candy"",
""""
),
""""
)"),"")</f>
        <v/>
      </c>
      <c r="F232" s="32" t="str">
        <f>IFERROR(__xludf.DUMMYFUNCTION("IFNA(VLOOKUP(C232,IMPORTRANGE(""https://docs.google.com/spreadsheets/d/1rG8iy-kKSFDxhVaU60GJ2bpXc8tZqI1bT8U0Ac0DWTU/edit?usp=sharing"",""REGISTRATION!C:V""),18,FALSE),"""")"),"None")</f>
        <v>None</v>
      </c>
      <c r="G232" s="32" t="str">
        <f>IFERROR(__xludf.DUMMYFUNCTION("IFNA(VLOOKUP(C232,IMPORTRANGE(""https://docs.google.com/spreadsheets/d/1rG8iy-kKSFDxhVaU60GJ2bpXc8tZqI1bT8U0Ac0DWTU/edit?usp=sharing"",""REGISTRATION!C:V""),20,FALSE),"""")"),"")</f>
        <v/>
      </c>
      <c r="H232" s="32" t="str">
        <f>IFERROR(__xludf.DUMMYFUNCTION("IFNA(VLOOKUP(C232,IMPORTRANGE(""https://docs.google.com/spreadsheets/d/1rG8iy-kKSFDxhVaU60GJ2bpXc8tZqI1bT8U0Ac0DWTU/edit?usp=sharing"",""REGISTRATION!C:V""),19,FALSE),"""")"),"None")</f>
        <v>None</v>
      </c>
    </row>
    <row r="233">
      <c r="C233" s="31" t="s">
        <v>207</v>
      </c>
      <c r="D233" s="49" t="str">
        <f>IFERROR(__xludf.DUMMYFUNCTION("IFNA(
IF(
VLOOKUP(C233,IMPORTRANGE(""https://docs.google.com/spreadsheets/d/1rG8iy-kKSFDxhVaU60GJ2bpXc8tZqI1bT8U0Ac0DWTU/edit?usp=sharing"",""REGISTRATION!C:X""),22,FALSE)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33" s="33" t="str">
        <f>IFERROR(__xludf.DUMMYFUNCTION("IFNA(
IF(
VLOOKUP(C233,IMPORTRANGE(""https://docs.google.com/spreadsheets/d/1rG8iy-kKSFDxhVaU60GJ2bpXc8tZqI1bT8U0Ac0DWTU/edit?usp=sharing"",""REGISTRATION!C:AB""),26,FALSE)
=""No"",
""No Candy"",
""""
),
""""
)"),"")</f>
        <v/>
      </c>
      <c r="F233" s="32" t="str">
        <f>IFERROR(__xludf.DUMMYFUNCTION("IFNA(VLOOKUP(C233,IMPORTRANGE(""https://docs.google.com/spreadsheets/d/1rG8iy-kKSFDxhVaU60GJ2bpXc8tZqI1bT8U0Ac0DWTU/edit?usp=sharing"",""REGISTRATION!C:V""),18,FALSE),"""")"),"None")</f>
        <v>None</v>
      </c>
      <c r="G233" s="32" t="str">
        <f>IFERROR(__xludf.DUMMYFUNCTION("IFNA(VLOOKUP(C233,IMPORTRANGE(""https://docs.google.com/spreadsheets/d/1rG8iy-kKSFDxhVaU60GJ2bpXc8tZqI1bT8U0Ac0DWTU/edit?usp=sharing"",""REGISTRATION!C:V""),20,FALSE),"""")"),"")</f>
        <v/>
      </c>
      <c r="H233" s="32" t="str">
        <f>IFERROR(__xludf.DUMMYFUNCTION("IFNA(VLOOKUP(C233,IMPORTRANGE(""https://docs.google.com/spreadsheets/d/1rG8iy-kKSFDxhVaU60GJ2bpXc8tZqI1bT8U0Ac0DWTU/edit?usp=sharing"",""REGISTRATION!C:V""),19,FALSE),"""")"),"None")</f>
        <v>None</v>
      </c>
    </row>
    <row r="234">
      <c r="C234" s="24" t="s">
        <v>208</v>
      </c>
      <c r="D234" s="27" t="str">
        <f>IFERROR(__xludf.DUMMYFUNCTION("IFNA(
IF(
VLOOKUP(C234,IMPORTRANGE(""https://docs.google.com/spreadsheets/d/1rG8iy-kKSFDxhVaU60GJ2bpXc8tZqI1bT8U0Ac0DWTU/edit?usp=sharing"",""REGISTRATION!C:X""),22,FALSE)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34" s="26" t="str">
        <f>IFERROR(__xludf.DUMMYFUNCTION("IFNA(
IF(
VLOOKUP(C234,IMPORTRANGE(""https://docs.google.com/spreadsheets/d/1rG8iy-kKSFDxhVaU60GJ2bpXc8tZqI1bT8U0Ac0DWTU/edit?usp=sharing"",""REGISTRATION!C:AB""),26,FALSE)
=""No"",
""No Candy"",
""""
),
""""
)"),"")</f>
        <v/>
      </c>
      <c r="F234" s="25" t="str">
        <f>IFERROR(__xludf.DUMMYFUNCTION("IFNA(VLOOKUP(C234,IMPORTRANGE(""https://docs.google.com/spreadsheets/d/1rG8iy-kKSFDxhVaU60GJ2bpXc8tZqI1bT8U0Ac0DWTU/edit?usp=sharing"",""REGISTRATION!C:V""),18,FALSE),"""")"),"None")</f>
        <v>None</v>
      </c>
      <c r="G234" s="25" t="str">
        <f>IFERROR(__xludf.DUMMYFUNCTION("IFNA(VLOOKUP(C234,IMPORTRANGE(""https://docs.google.com/spreadsheets/d/1rG8iy-kKSFDxhVaU60GJ2bpXc8tZqI1bT8U0Ac0DWTU/edit?usp=sharing"",""REGISTRATION!C:V""),20,FALSE),"""")"),"")</f>
        <v/>
      </c>
      <c r="H234" s="25" t="str">
        <f>IFERROR(__xludf.DUMMYFUNCTION("IFNA(VLOOKUP(C234,IMPORTRANGE(""https://docs.google.com/spreadsheets/d/1rG8iy-kKSFDxhVaU60GJ2bpXc8tZqI1bT8U0Ac0DWTU/edit?usp=sharing"",""REGISTRATION!C:V""),19,FALSE),"""")"),"None")</f>
        <v>None</v>
      </c>
    </row>
    <row r="235">
      <c r="C235" s="16" t="s">
        <v>209</v>
      </c>
      <c r="D235" s="19" t="str">
        <f>IFERROR(__xludf.DUMMYFUNCTION("IFNA(
IF(
VLOOKUP(C235,IMPORTRANGE(""https://docs.google.com/spreadsheets/d/1rG8iy-kKSFDxhVaU60GJ2bpXc8tZqI1bT8U0Ac0DWTU/edit?usp=sharing"",""REGISTRATION!C:X""),22,FALSE)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35" s="18" t="str">
        <f>IFERROR(__xludf.DUMMYFUNCTION("IFNA(
IF(
VLOOKUP(C235,IMPORTRANGE(""https://docs.google.com/spreadsheets/d/1rG8iy-kKSFDxhVaU60GJ2bpXc8tZqI1bT8U0Ac0DWTU/edit?usp=sharing"",""REGISTRATION!C:AB""),26,FALSE)
=""No"",
""No Candy"",
""""
),
""""
)"),"")</f>
        <v/>
      </c>
      <c r="F235" s="19" t="str">
        <f>IFERROR(__xludf.DUMMYFUNCTION("IFNA(VLOOKUP(C235,IMPORTRANGE(""https://docs.google.com/spreadsheets/d/1rG8iy-kKSFDxhVaU60GJ2bpXc8tZqI1bT8U0Ac0DWTU/edit?usp=sharing"",""REGISTRATION!C:V""),18,FALSE),"""")"),"Treenuts, Coconut ")</f>
        <v>Treenuts, Coconut </v>
      </c>
      <c r="G235" s="17" t="str">
        <f>IFERROR(__xludf.DUMMYFUNCTION("IFNA(VLOOKUP(C235,IMPORTRANGE(""https://docs.google.com/spreadsheets/d/1rG8iy-kKSFDxhVaU60GJ2bpXc8tZqI1bT8U0Ac0DWTU/edit?usp=sharing"",""REGISTRATION!C:V""),20,FALSE),"""")"),"")</f>
        <v/>
      </c>
      <c r="H235" s="17" t="str">
        <f>IFERROR(__xludf.DUMMYFUNCTION("IFNA(VLOOKUP(C235,IMPORTRANGE(""https://docs.google.com/spreadsheets/d/1rG8iy-kKSFDxhVaU60GJ2bpXc8tZqI1bT8U0Ac0DWTU/edit?usp=sharing"",""REGISTRATION!C:V""),19,FALSE),"""")"),"None")</f>
        <v>None</v>
      </c>
    </row>
    <row r="236">
      <c r="C236" s="31" t="s">
        <v>210</v>
      </c>
      <c r="D236" s="49" t="str">
        <f>IFERROR(__xludf.DUMMYFUNCTION("IFNA(
IF(
VLOOKUP(C236,IMPORTRANGE(""https://docs.google.com/spreadsheets/d/1rG8iy-kKSFDxhVaU60GJ2bpXc8tZqI1bT8U0Ac0DWTU/edit?usp=sharing"",""REGISTRATION!C:X""),22,FALSE)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36" s="33" t="str">
        <f>IFERROR(__xludf.DUMMYFUNCTION("IFNA(
IF(
VLOOKUP(C236,IMPORTRANGE(""https://docs.google.com/spreadsheets/d/1rG8iy-kKSFDxhVaU60GJ2bpXc8tZqI1bT8U0Ac0DWTU/edit?usp=sharing"",""REGISTRATION!C:AB""),26,FALSE)
=""No"",
""No Candy"",
""""
),
""""
)"),"")</f>
        <v/>
      </c>
      <c r="F236" s="32" t="str">
        <f>IFERROR(__xludf.DUMMYFUNCTION("IFNA(VLOOKUP(C236,IMPORTRANGE(""https://docs.google.com/spreadsheets/d/1rG8iy-kKSFDxhVaU60GJ2bpXc8tZqI1bT8U0Ac0DWTU/edit?usp=sharing"",""REGISTRATION!C:V""),18,FALSE),"""")"),"None")</f>
        <v>None</v>
      </c>
      <c r="G236" s="32" t="str">
        <f>IFERROR(__xludf.DUMMYFUNCTION("IFNA(VLOOKUP(C236,IMPORTRANGE(""https://docs.google.com/spreadsheets/d/1rG8iy-kKSFDxhVaU60GJ2bpXc8tZqI1bT8U0Ac0DWTU/edit?usp=sharing"",""REGISTRATION!C:V""),20,FALSE),"""")"),"")</f>
        <v/>
      </c>
      <c r="H236" s="32" t="str">
        <f>IFERROR(__xludf.DUMMYFUNCTION("IFNA(VLOOKUP(C236,IMPORTRANGE(""https://docs.google.com/spreadsheets/d/1rG8iy-kKSFDxhVaU60GJ2bpXc8tZqI1bT8U0Ac0DWTU/edit?usp=sharing"",""REGISTRATION!C:V""),19,FALSE),"""")"),"None")</f>
        <v>None</v>
      </c>
    </row>
    <row r="237">
      <c r="C237" s="31" t="s">
        <v>211</v>
      </c>
      <c r="D237" s="49" t="str">
        <f>IFERROR(__xludf.DUMMYFUNCTION("IFNA(
IF(
VLOOKUP(C237,IMPORTRANGE(""https://docs.google.com/spreadsheets/d/1rG8iy-kKSFDxhVaU60GJ2bpXc8tZqI1bT8U0Ac0DWTU/edit?usp=sharing"",""REGISTRATION!C:X""),22,FALSE)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37" s="33" t="str">
        <f>IFERROR(__xludf.DUMMYFUNCTION("IFNA(
IF(
VLOOKUP(C237,IMPORTRANGE(""https://docs.google.com/spreadsheets/d/1rG8iy-kKSFDxhVaU60GJ2bpXc8tZqI1bT8U0Ac0DWTU/edit?usp=sharing"",""REGISTRATION!C:AB""),26,FALSE)
=""No"",
""No Candy"",
""""
),
""""
)"),"")</f>
        <v/>
      </c>
      <c r="F237" s="32" t="str">
        <f>IFERROR(__xludf.DUMMYFUNCTION("IFNA(VLOOKUP(C237,IMPORTRANGE(""https://docs.google.com/spreadsheets/d/1rG8iy-kKSFDxhVaU60GJ2bpXc8tZqI1bT8U0Ac0DWTU/edit?usp=sharing"",""REGISTRATION!C:V""),18,FALSE),"""")"),"None")</f>
        <v>None</v>
      </c>
      <c r="G237" s="32" t="str">
        <f>IFERROR(__xludf.DUMMYFUNCTION("IFNA(VLOOKUP(C237,IMPORTRANGE(""https://docs.google.com/spreadsheets/d/1rG8iy-kKSFDxhVaU60GJ2bpXc8tZqI1bT8U0Ac0DWTU/edit?usp=sharing"",""REGISTRATION!C:V""),20,FALSE),"""")"),"")</f>
        <v/>
      </c>
      <c r="H237" s="32" t="str">
        <f>IFERROR(__xludf.DUMMYFUNCTION("IFNA(VLOOKUP(C237,IMPORTRANGE(""https://docs.google.com/spreadsheets/d/1rG8iy-kKSFDxhVaU60GJ2bpXc8tZqI1bT8U0Ac0DWTU/edit?usp=sharing"",""REGISTRATION!C:V""),19,FALSE),"""")"),"None")</f>
        <v>None</v>
      </c>
    </row>
    <row r="238">
      <c r="C238" s="24" t="s">
        <v>212</v>
      </c>
      <c r="D238" s="27" t="str">
        <f>IFERROR(__xludf.DUMMYFUNCTION("IFNA(
IF(
VLOOKUP(C238,IMPORTRANGE(""https://docs.google.com/spreadsheets/d/1rG8iy-kKSFDxhVaU60GJ2bpXc8tZqI1bT8U0Ac0DWTU/edit?usp=sharing"",""REGISTRATION!C:X""),22,FALSE)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38" s="26" t="str">
        <f>IFERROR(__xludf.DUMMYFUNCTION("IFNA(
IF(
VLOOKUP(C238,IMPORTRANGE(""https://docs.google.com/spreadsheets/d/1rG8iy-kKSFDxhVaU60GJ2bpXc8tZqI1bT8U0Ac0DWTU/edit?usp=sharing"",""REGISTRATION!C:AB""),26,FALSE)
=""No"",
""No Candy"",
""""
),
""""
)"),"")</f>
        <v/>
      </c>
      <c r="F238" s="25" t="str">
        <f>IFERROR(__xludf.DUMMYFUNCTION("IFNA(VLOOKUP(C238,IMPORTRANGE(""https://docs.google.com/spreadsheets/d/1rG8iy-kKSFDxhVaU60GJ2bpXc8tZqI1bT8U0Ac0DWTU/edit?usp=sharing"",""REGISTRATION!C:V""),18,FALSE),"""")"),"None")</f>
        <v>None</v>
      </c>
      <c r="G238" s="25" t="str">
        <f>IFERROR(__xludf.DUMMYFUNCTION("IFNA(VLOOKUP(C238,IMPORTRANGE(""https://docs.google.com/spreadsheets/d/1rG8iy-kKSFDxhVaU60GJ2bpXc8tZqI1bT8U0Ac0DWTU/edit?usp=sharing"",""REGISTRATION!C:V""),20,FALSE),"""")"),"")</f>
        <v/>
      </c>
      <c r="H238" s="25" t="str">
        <f>IFERROR(__xludf.DUMMYFUNCTION("IFNA(VLOOKUP(C238,IMPORTRANGE(""https://docs.google.com/spreadsheets/d/1rG8iy-kKSFDxhVaU60GJ2bpXc8tZqI1bT8U0Ac0DWTU/edit?usp=sharing"",""REGISTRATION!C:V""),19,FALSE),"""")"),"None")</f>
        <v>None</v>
      </c>
    </row>
    <row r="239">
      <c r="C239" s="24" t="s">
        <v>213</v>
      </c>
      <c r="D239" s="27" t="str">
        <f>IFERROR(__xludf.DUMMYFUNCTION("IFNA(
IF(
VLOOKUP(C239,IMPORTRANGE(""https://docs.google.com/spreadsheets/d/1rG8iy-kKSFDxhVaU60GJ2bpXc8tZqI1bT8U0Ac0DWTU/edit?usp=sharing"",""REGISTRATION!C:X""),22,FALSE)
=""I qualify for Free and Reduced Lunch and WOULD like lunch to be provided for my "&amp;"child."",
""Yes"",
""""
),
""""
)"),"Yes")</f>
        <v>Yes</v>
      </c>
      <c r="E239" s="26" t="str">
        <f>IFERROR(__xludf.DUMMYFUNCTION("IFNA(
IF(
VLOOKUP(C239,IMPORTRANGE(""https://docs.google.com/spreadsheets/d/1rG8iy-kKSFDxhVaU60GJ2bpXc8tZqI1bT8U0Ac0DWTU/edit?usp=sharing"",""REGISTRATION!C:AB""),26,FALSE)
=""No"",
""No Candy"",
""""
),
""""
)"),"")</f>
        <v/>
      </c>
      <c r="F239" s="25" t="str">
        <f>IFERROR(__xludf.DUMMYFUNCTION("IFNA(VLOOKUP(C239,IMPORTRANGE(""https://docs.google.com/spreadsheets/d/1rG8iy-kKSFDxhVaU60GJ2bpXc8tZqI1bT8U0Ac0DWTU/edit?usp=sharing"",""REGISTRATION!C:V""),18,FALSE),"""")"),"None")</f>
        <v>None</v>
      </c>
      <c r="G239" s="25" t="str">
        <f>IFERROR(__xludf.DUMMYFUNCTION("IFNA(VLOOKUP(C239,IMPORTRANGE(""https://docs.google.com/spreadsheets/d/1rG8iy-kKSFDxhVaU60GJ2bpXc8tZqI1bT8U0Ac0DWTU/edit?usp=sharing"",""REGISTRATION!C:V""),20,FALSE),"""")"),"")</f>
        <v/>
      </c>
      <c r="H239" s="25" t="str">
        <f>IFERROR(__xludf.DUMMYFUNCTION("IFNA(VLOOKUP(C239,IMPORTRANGE(""https://docs.google.com/spreadsheets/d/1rG8iy-kKSFDxhVaU60GJ2bpXc8tZqI1bT8U0Ac0DWTU/edit?usp=sharing"",""REGISTRATION!C:V""),19,FALSE),"""")"),"None")</f>
        <v>None</v>
      </c>
    </row>
    <row r="240">
      <c r="C240" s="31" t="s">
        <v>214</v>
      </c>
      <c r="D240" s="49" t="str">
        <f>IFERROR(__xludf.DUMMYFUNCTION("IFNA(
IF(
VLOOKUP(C240,IMPORTRANGE(""https://docs.google.com/spreadsheets/d/1rG8iy-kKSFDxhVaU60GJ2bpXc8tZqI1bT8U0Ac0DWTU/edit?usp=sharing"",""REGISTRATION!C:X""),22,FALSE)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40" s="33" t="str">
        <f>IFERROR(__xludf.DUMMYFUNCTION("IFNA(
IF(
VLOOKUP(C240,IMPORTRANGE(""https://docs.google.com/spreadsheets/d/1rG8iy-kKSFDxhVaU60GJ2bpXc8tZqI1bT8U0Ac0DWTU/edit?usp=sharing"",""REGISTRATION!C:AB""),26,FALSE)
=""No"",
""No Candy"",
""""
),
""""
)"),"")</f>
        <v/>
      </c>
      <c r="F240" s="32" t="str">
        <f>IFERROR(__xludf.DUMMYFUNCTION("IFNA(VLOOKUP(C240,IMPORTRANGE(""https://docs.google.com/spreadsheets/d/1rG8iy-kKSFDxhVaU60GJ2bpXc8tZqI1bT8U0Ac0DWTU/edit?usp=sharing"",""REGISTRATION!C:V""),18,FALSE),"""")"),"None")</f>
        <v>None</v>
      </c>
      <c r="G240" s="32" t="str">
        <f>IFERROR(__xludf.DUMMYFUNCTION("IFNA(VLOOKUP(C240,IMPORTRANGE(""https://docs.google.com/spreadsheets/d/1rG8iy-kKSFDxhVaU60GJ2bpXc8tZqI1bT8U0Ac0DWTU/edit?usp=sharing"",""REGISTRATION!C:V""),20,FALSE),"""")"),"Oliver is very eager to learn and excited ")</f>
        <v>Oliver is very eager to learn and excited </v>
      </c>
      <c r="H240" s="32" t="str">
        <f>IFERROR(__xludf.DUMMYFUNCTION("IFNA(VLOOKUP(C240,IMPORTRANGE(""https://docs.google.com/spreadsheets/d/1rG8iy-kKSFDxhVaU60GJ2bpXc8tZqI1bT8U0Ac0DWTU/edit?usp=sharing"",""REGISTRATION!C:V""),19,FALSE),"""")"),"None")</f>
        <v>None</v>
      </c>
    </row>
    <row r="241">
      <c r="C241" s="48" t="s">
        <v>215</v>
      </c>
      <c r="D241" s="49" t="str">
        <f>IFERROR(__xludf.DUMMYFUNCTION("IFNA(
IF(
VLOOKUP(C241,IMPORTRANGE(""https://docs.google.com/spreadsheets/d/1rG8iy-kKSFDxhVaU60GJ2bpXc8tZqI1bT8U0Ac0DWTU/edit?usp=sharing"",""REGISTRATION!C:X""),22,FALSE)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41" s="33" t="str">
        <f>IFERROR(__xludf.DUMMYFUNCTION("IFNA(
IF(
VLOOKUP(C241,IMPORTRANGE(""https://docs.google.com/spreadsheets/d/1rG8iy-kKSFDxhVaU60GJ2bpXc8tZqI1bT8U0Ac0DWTU/edit?usp=sharing"",""REGISTRATION!C:AB""),26,FALSE)
=""No"",
""No Candy"",
""""
),
""""
)"),"")</f>
        <v/>
      </c>
      <c r="F241" s="32" t="str">
        <f>IFERROR(__xludf.DUMMYFUNCTION("IFNA(VLOOKUP(C241,IMPORTRANGE(""https://docs.google.com/spreadsheets/d/1rG8iy-kKSFDxhVaU60GJ2bpXc8tZqI1bT8U0Ac0DWTU/edit?usp=sharing"",""REGISTRATION!C:V""),18,FALSE),"""")"),"None")</f>
        <v>None</v>
      </c>
      <c r="G241" s="32" t="str">
        <f>IFERROR(__xludf.DUMMYFUNCTION("IFNA(VLOOKUP(C241,IMPORTRANGE(""https://docs.google.com/spreadsheets/d/1rG8iy-kKSFDxhVaU60GJ2bpXc8tZqI1bT8U0Ac0DWTU/edit?usp=sharing"",""REGISTRATION!C:V""),20,FALSE),"""")"),"")</f>
        <v/>
      </c>
      <c r="H241" s="32" t="str">
        <f>IFERROR(__xludf.DUMMYFUNCTION("IFNA(VLOOKUP(C241,IMPORTRANGE(""https://docs.google.com/spreadsheets/d/1rG8iy-kKSFDxhVaU60GJ2bpXc8tZqI1bT8U0Ac0DWTU/edit?usp=sharing"",""REGISTRATION!C:V""),19,FALSE),"""")"),"None")</f>
        <v>None</v>
      </c>
    </row>
    <row r="242">
      <c r="C242" s="50" t="s">
        <v>216</v>
      </c>
      <c r="D242" s="27" t="str">
        <f>IFERROR(__xludf.DUMMYFUNCTION("IFNA(
IF(
VLOOKUP(C242,IMPORTRANGE(""https://docs.google.com/spreadsheets/d/1rG8iy-kKSFDxhVaU60GJ2bpXc8tZqI1bT8U0Ac0DWTU/edit?usp=sharing"",""REGISTRATION!C:X""),22,FALSE)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42" s="26" t="str">
        <f>IFERROR(__xludf.DUMMYFUNCTION("IFNA(
IF(
VLOOKUP(C242,IMPORTRANGE(""https://docs.google.com/spreadsheets/d/1rG8iy-kKSFDxhVaU60GJ2bpXc8tZqI1bT8U0Ac0DWTU/edit?usp=sharing"",""REGISTRATION!C:AB""),26,FALSE)
=""No"",
""No Candy"",
""""
),
""""
)"),"")</f>
        <v/>
      </c>
      <c r="F242" s="25" t="str">
        <f>IFERROR(__xludf.DUMMYFUNCTION("IFNA(VLOOKUP(C242,IMPORTRANGE(""https://docs.google.com/spreadsheets/d/1rG8iy-kKSFDxhVaU60GJ2bpXc8tZqI1bT8U0Ac0DWTU/edit?usp=sharing"",""REGISTRATION!C:V""),18,FALSE),"""")"),"None")</f>
        <v>None</v>
      </c>
      <c r="G242" s="25" t="str">
        <f>IFERROR(__xludf.DUMMYFUNCTION("IFNA(VLOOKUP(C242,IMPORTRANGE(""https://docs.google.com/spreadsheets/d/1rG8iy-kKSFDxhVaU60GJ2bpXc8tZqI1bT8U0Ac0DWTU/edit?usp=sharing"",""REGISTRATION!C:V""),20,FALSE),"""")"),"")</f>
        <v/>
      </c>
      <c r="H242" s="25" t="str">
        <f>IFERROR(__xludf.DUMMYFUNCTION("IFNA(VLOOKUP(C242,IMPORTRANGE(""https://docs.google.com/spreadsheets/d/1rG8iy-kKSFDxhVaU60GJ2bpXc8tZqI1bT8U0Ac0DWTU/edit?usp=sharing"",""REGISTRATION!C:V""),19,FALSE),"""")"),"None")</f>
        <v>None</v>
      </c>
    </row>
    <row r="243">
      <c r="C243" s="48" t="s">
        <v>217</v>
      </c>
      <c r="D243" s="49" t="str">
        <f>IFERROR(__xludf.DUMMYFUNCTION("IFNA(
IF(
VLOOKUP(C243,IMPORTRANGE(""https://docs.google.com/spreadsheets/d/1rG8iy-kKSFDxhVaU60GJ2bpXc8tZqI1bT8U0Ac0DWTU/edit?usp=sharing"",""REGISTRATION!C:X""),22,FALSE)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43" s="33" t="str">
        <f>IFERROR(__xludf.DUMMYFUNCTION("IFNA(
IF(
VLOOKUP(C243,IMPORTRANGE(""https://docs.google.com/spreadsheets/d/1rG8iy-kKSFDxhVaU60GJ2bpXc8tZqI1bT8U0Ac0DWTU/edit?usp=sharing"",""REGISTRATION!C:AB""),26,FALSE)
=""No"",
""No Candy"",
""""
),
""""
)"),"")</f>
        <v/>
      </c>
      <c r="F243" s="32" t="str">
        <f>IFERROR(__xludf.DUMMYFUNCTION("IFNA(VLOOKUP(C243,IMPORTRANGE(""https://docs.google.com/spreadsheets/d/1rG8iy-kKSFDxhVaU60GJ2bpXc8tZqI1bT8U0Ac0DWTU/edit?usp=sharing"",""REGISTRATION!C:V""),18,FALSE),"""")"),"None")</f>
        <v>None</v>
      </c>
      <c r="G243" s="32" t="str">
        <f>IFERROR(__xludf.DUMMYFUNCTION("IFNA(VLOOKUP(C243,IMPORTRANGE(""https://docs.google.com/spreadsheets/d/1rG8iy-kKSFDxhVaU60GJ2bpXc8tZqI1bT8U0Ac0DWTU/edit?usp=sharing"",""REGISTRATION!C:V""),20,FALSE),"""")"),"")</f>
        <v/>
      </c>
      <c r="H243" s="32" t="str">
        <f>IFERROR(__xludf.DUMMYFUNCTION("IFNA(VLOOKUP(C243,IMPORTRANGE(""https://docs.google.com/spreadsheets/d/1rG8iy-kKSFDxhVaU60GJ2bpXc8tZqI1bT8U0Ac0DWTU/edit?usp=sharing"",""REGISTRATION!C:V""),19,FALSE),"""")"),"None")</f>
        <v>None</v>
      </c>
    </row>
    <row r="244">
      <c r="C244" s="42" t="s">
        <v>218</v>
      </c>
      <c r="D244" s="43" t="str">
        <f>IFERROR(__xludf.DUMMYFUNCTION("IFNA(
IF(
VLOOKUP(C244,IMPORTRANGE(""https://docs.google.com/spreadsheets/d/1rG8iy-kKSFDxhVaU60GJ2bpXc8tZqI1bT8U0Ac0DWTU/edit?usp=sharing"",""REGISTRATION!C:X""),22,FALSE)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44" s="59" t="str">
        <f>IFERROR(__xludf.DUMMYFUNCTION("IFNA(
IF(
VLOOKUP(C244,IMPORTRANGE(""https://docs.google.com/spreadsheets/d/1rG8iy-kKSFDxhVaU60GJ2bpXc8tZqI1bT8U0Ac0DWTU/edit?usp=sharing"",""REGISTRATION!C:AB""),26,FALSE)
=""No"",
""No Candy"",
""""
),
""""
)"),"")</f>
        <v/>
      </c>
      <c r="F244" s="46" t="str">
        <f>IFERROR(__xludf.DUMMYFUNCTION("IFNA(VLOOKUP(C244,IMPORTRANGE(""https://docs.google.com/spreadsheets/d/1rG8iy-kKSFDxhVaU60GJ2bpXc8tZqI1bT8U0Ac0DWTU/edit?usp=sharing"",""REGISTRATION!C:V""),18,FALSE),"""")"),"None")</f>
        <v>None</v>
      </c>
      <c r="G244" s="43" t="str">
        <f>IFERROR(__xludf.DUMMYFUNCTION("IFNA(VLOOKUP(C244,IMPORTRANGE(""https://docs.google.com/spreadsheets/d/1rG8iy-kKSFDxhVaU60GJ2bpXc8tZqI1bT8U0Ac0DWTU/edit?usp=sharing"",""REGISTRATION!C:V""),20,FALSE),"""")"),"")</f>
        <v/>
      </c>
      <c r="H244" s="46" t="str">
        <f>IFERROR(__xludf.DUMMYFUNCTION("IFNA(VLOOKUP(C244,IMPORTRANGE(""https://docs.google.com/spreadsheets/d/1rG8iy-kKSFDxhVaU60GJ2bpXc8tZqI1bT8U0Ac0DWTU/edit?usp=sharing"",""REGISTRATION!C:V""),19,FALSE),"""")"),"None")</f>
        <v>None</v>
      </c>
    </row>
    <row r="245">
      <c r="C245" s="31"/>
      <c r="D245" s="32" t="str">
        <f>IFERROR(__xludf.DUMMYFUNCTION("IFNA(
IF(
VLOOKUP(C245,IMPORTRANGE(""https://docs.google.com/spreadsheets/d/1rG8iy-kKSFDxhVaU60GJ2bpXc8tZqI1bT8U0Ac0DWTU/edit?usp=sharing"",""REGISTRATION!C:X""),22,FALSE)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45" s="33" t="str">
        <f>IFERROR(__xludf.DUMMYFUNCTION("IFNA(
IF(
VLOOKUP(C245,IMPORTRANGE(""https://docs.google.com/spreadsheets/d/1rG8iy-kKSFDxhVaU60GJ2bpXc8tZqI1bT8U0Ac0DWTU/edit?usp=sharing"",""REGISTRATION!C:AB""),26,FALSE)
=""No"",
""No Candy"",
""""
),
""""
)"),"")</f>
        <v/>
      </c>
      <c r="F245" s="32" t="str">
        <f>IFERROR(__xludf.DUMMYFUNCTION("IFNA(VLOOKUP(C245,IMPORTRANGE(""https://docs.google.com/spreadsheets/d/1rG8iy-kKSFDxhVaU60GJ2bpXc8tZqI1bT8U0Ac0DWTU/edit?usp=sharing"",""REGISTRATION!C:V""),18,FALSE),"""")"),"")</f>
        <v/>
      </c>
      <c r="G245" s="32" t="str">
        <f>IFERROR(__xludf.DUMMYFUNCTION("IFNA(VLOOKUP(C245,IMPORTRANGE(""https://docs.google.com/spreadsheets/d/1rG8iy-kKSFDxhVaU60GJ2bpXc8tZqI1bT8U0Ac0DWTU/edit?usp=sharing"",""REGISTRATION!C:V""),20,FALSE),"""")"),"")</f>
        <v/>
      </c>
      <c r="H245" s="32" t="str">
        <f>IFERROR(__xludf.DUMMYFUNCTION("IFNA(VLOOKUP(C245,IMPORTRANGE(""https://docs.google.com/spreadsheets/d/1rG8iy-kKSFDxhVaU60GJ2bpXc8tZqI1bT8U0Ac0DWTU/edit?usp=sharing"",""REGISTRATION!C:V""),19,FALSE),"""")"),"")</f>
        <v/>
      </c>
    </row>
    <row r="246">
      <c r="C246" s="31"/>
      <c r="D246" s="32" t="str">
        <f>IFERROR(__xludf.DUMMYFUNCTION("IFNA(
IF(
VLOOKUP(C246,IMPORTRANGE(""https://docs.google.com/spreadsheets/d/1rG8iy-kKSFDxhVaU60GJ2bpXc8tZqI1bT8U0Ac0DWTU/edit?usp=sharing"",""REGISTRATION!C:X""),22,FALSE)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46" s="33" t="str">
        <f>IFERROR(__xludf.DUMMYFUNCTION("IFNA(
IF(
VLOOKUP(C246,IMPORTRANGE(""https://docs.google.com/spreadsheets/d/1rG8iy-kKSFDxhVaU60GJ2bpXc8tZqI1bT8U0Ac0DWTU/edit?usp=sharing"",""REGISTRATION!C:AB""),26,FALSE)
=""No"",
""No Candy"",
""""
),
""""
)"),"")</f>
        <v/>
      </c>
      <c r="F246" s="32" t="str">
        <f>IFERROR(__xludf.DUMMYFUNCTION("IFNA(VLOOKUP(C246,IMPORTRANGE(""https://docs.google.com/spreadsheets/d/1rG8iy-kKSFDxhVaU60GJ2bpXc8tZqI1bT8U0Ac0DWTU/edit?usp=sharing"",""REGISTRATION!C:V""),18,FALSE),"""")"),"")</f>
        <v/>
      </c>
      <c r="G246" s="32" t="str">
        <f>IFERROR(__xludf.DUMMYFUNCTION("IFNA(VLOOKUP(C246,IMPORTRANGE(""https://docs.google.com/spreadsheets/d/1rG8iy-kKSFDxhVaU60GJ2bpXc8tZqI1bT8U0Ac0DWTU/edit?usp=sharing"",""REGISTRATION!C:V""),20,FALSE),"""")"),"")</f>
        <v/>
      </c>
      <c r="H246" s="32" t="str">
        <f>IFERROR(__xludf.DUMMYFUNCTION("IFNA(VLOOKUP(C246,IMPORTRANGE(""https://docs.google.com/spreadsheets/d/1rG8iy-kKSFDxhVaU60GJ2bpXc8tZqI1bT8U0Ac0DWTU/edit?usp=sharing"",""REGISTRATION!C:V""),19,FALSE),"""")"),"")</f>
        <v/>
      </c>
    </row>
    <row r="247">
      <c r="C247" s="31"/>
      <c r="D247" s="32" t="str">
        <f>IFERROR(__xludf.DUMMYFUNCTION("IFNA(
IF(
VLOOKUP(C247,IMPORTRANGE(""https://docs.google.com/spreadsheets/d/1rG8iy-kKSFDxhVaU60GJ2bpXc8tZqI1bT8U0Ac0DWTU/edit?usp=sharing"",""REGISTRATION!C:X""),22,FALSE)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47" s="33" t="str">
        <f>IFERROR(__xludf.DUMMYFUNCTION("IFNA(
IF(
VLOOKUP(C247,IMPORTRANGE(""https://docs.google.com/spreadsheets/d/1rG8iy-kKSFDxhVaU60GJ2bpXc8tZqI1bT8U0Ac0DWTU/edit?usp=sharing"",""REGISTRATION!C:AB""),26,FALSE)
=""No"",
""No Candy"",
""""
),
""""
)"),"")</f>
        <v/>
      </c>
      <c r="F247" s="32" t="str">
        <f>IFERROR(__xludf.DUMMYFUNCTION("IFNA(VLOOKUP(C247,IMPORTRANGE(""https://docs.google.com/spreadsheets/d/1rG8iy-kKSFDxhVaU60GJ2bpXc8tZqI1bT8U0Ac0DWTU/edit?usp=sharing"",""REGISTRATION!C:V""),18,FALSE),"""")"),"")</f>
        <v/>
      </c>
      <c r="G247" s="32" t="str">
        <f>IFERROR(__xludf.DUMMYFUNCTION("IFNA(VLOOKUP(C247,IMPORTRANGE(""https://docs.google.com/spreadsheets/d/1rG8iy-kKSFDxhVaU60GJ2bpXc8tZqI1bT8U0Ac0DWTU/edit?usp=sharing"",""REGISTRATION!C:V""),20,FALSE),"""")"),"")</f>
        <v/>
      </c>
      <c r="H247" s="32" t="str">
        <f>IFERROR(__xludf.DUMMYFUNCTION("IFNA(VLOOKUP(C247,IMPORTRANGE(""https://docs.google.com/spreadsheets/d/1rG8iy-kKSFDxhVaU60GJ2bpXc8tZqI1bT8U0Ac0DWTU/edit?usp=sharing"",""REGISTRATION!C:V""),19,FALSE),"""")"),"")</f>
        <v/>
      </c>
    </row>
    <row r="248">
      <c r="A248" s="60"/>
      <c r="B248" s="60"/>
      <c r="C248" s="60"/>
      <c r="D248" s="60"/>
      <c r="E248" s="61"/>
      <c r="F248" s="62"/>
      <c r="G248" s="62"/>
      <c r="H248" s="62"/>
    </row>
    <row r="249">
      <c r="E249" s="33"/>
      <c r="F249" s="63"/>
      <c r="G249" s="63"/>
      <c r="H249" s="63"/>
    </row>
    <row r="250">
      <c r="E250" s="33"/>
      <c r="F250" s="63"/>
      <c r="G250" s="63"/>
      <c r="H250" s="63"/>
    </row>
    <row r="251">
      <c r="E251" s="33"/>
      <c r="F251" s="63"/>
      <c r="G251" s="63"/>
      <c r="H251" s="63"/>
    </row>
    <row r="252">
      <c r="E252" s="33"/>
      <c r="F252" s="63"/>
      <c r="G252" s="63"/>
      <c r="H252" s="63"/>
    </row>
    <row r="253">
      <c r="E253" s="33"/>
      <c r="F253" s="63"/>
      <c r="G253" s="63"/>
      <c r="H253" s="63"/>
    </row>
    <row r="254">
      <c r="E254" s="33"/>
      <c r="F254" s="63"/>
      <c r="G254" s="63"/>
      <c r="H254" s="63"/>
    </row>
    <row r="255">
      <c r="E255" s="33"/>
      <c r="F255" s="63"/>
      <c r="G255" s="63"/>
      <c r="H255" s="63"/>
    </row>
    <row r="256">
      <c r="E256" s="33"/>
      <c r="F256" s="63"/>
      <c r="G256" s="63"/>
      <c r="H256" s="63"/>
    </row>
    <row r="257">
      <c r="E257" s="33"/>
      <c r="F257" s="63"/>
      <c r="G257" s="63"/>
      <c r="H257" s="63"/>
    </row>
    <row r="258">
      <c r="E258" s="33"/>
      <c r="F258" s="63"/>
      <c r="G258" s="63"/>
      <c r="H258" s="63"/>
    </row>
    <row r="259">
      <c r="E259" s="33"/>
      <c r="F259" s="63"/>
      <c r="G259" s="63"/>
      <c r="H259" s="63"/>
    </row>
    <row r="260">
      <c r="E260" s="33"/>
      <c r="F260" s="63"/>
      <c r="G260" s="63"/>
      <c r="H260" s="63"/>
    </row>
    <row r="261">
      <c r="E261" s="33"/>
      <c r="F261" s="63"/>
      <c r="G261" s="63"/>
      <c r="H261" s="63"/>
    </row>
    <row r="262">
      <c r="E262" s="33"/>
      <c r="F262" s="63"/>
      <c r="G262" s="63"/>
      <c r="H262" s="63"/>
    </row>
    <row r="263">
      <c r="E263" s="33"/>
      <c r="F263" s="63"/>
      <c r="G263" s="63"/>
      <c r="H263" s="63"/>
    </row>
    <row r="264">
      <c r="E264" s="33"/>
      <c r="F264" s="63"/>
      <c r="G264" s="63"/>
      <c r="H264" s="63"/>
    </row>
    <row r="265">
      <c r="E265" s="33"/>
      <c r="F265" s="63"/>
      <c r="G265" s="63"/>
      <c r="H265" s="63"/>
    </row>
    <row r="266">
      <c r="E266" s="33"/>
      <c r="F266" s="63"/>
      <c r="G266" s="63"/>
      <c r="H266" s="63"/>
    </row>
    <row r="267">
      <c r="E267" s="33"/>
      <c r="F267" s="63"/>
      <c r="G267" s="63"/>
      <c r="H267" s="63"/>
    </row>
    <row r="268">
      <c r="E268" s="33"/>
      <c r="F268" s="63"/>
      <c r="G268" s="63"/>
      <c r="H268" s="63"/>
    </row>
    <row r="269">
      <c r="E269" s="33"/>
      <c r="F269" s="63"/>
      <c r="G269" s="63"/>
      <c r="H269" s="63"/>
    </row>
    <row r="270">
      <c r="E270" s="33"/>
      <c r="F270" s="63"/>
      <c r="G270" s="63"/>
      <c r="H270" s="63"/>
    </row>
    <row r="271">
      <c r="E271" s="33"/>
      <c r="F271" s="63"/>
      <c r="G271" s="63"/>
      <c r="H271" s="63"/>
    </row>
    <row r="272">
      <c r="E272" s="33"/>
      <c r="F272" s="63"/>
      <c r="G272" s="63"/>
      <c r="H272" s="63"/>
    </row>
    <row r="273">
      <c r="E273" s="33"/>
      <c r="F273" s="63"/>
      <c r="G273" s="63"/>
      <c r="H273" s="63"/>
    </row>
    <row r="274">
      <c r="E274" s="33"/>
      <c r="F274" s="63"/>
      <c r="G274" s="63"/>
      <c r="H274" s="63"/>
    </row>
    <row r="275">
      <c r="E275" s="33"/>
      <c r="F275" s="63"/>
      <c r="G275" s="63"/>
      <c r="H275" s="63"/>
    </row>
    <row r="276">
      <c r="E276" s="33"/>
      <c r="F276" s="63"/>
      <c r="G276" s="63"/>
      <c r="H276" s="63"/>
    </row>
    <row r="277">
      <c r="E277" s="33"/>
      <c r="F277" s="63"/>
      <c r="G277" s="63"/>
      <c r="H277" s="63"/>
    </row>
    <row r="278">
      <c r="E278" s="33"/>
      <c r="F278" s="63"/>
      <c r="G278" s="63"/>
      <c r="H278" s="63"/>
    </row>
    <row r="279">
      <c r="E279" s="33"/>
      <c r="F279" s="63"/>
      <c r="G279" s="63"/>
      <c r="H279" s="63"/>
    </row>
    <row r="280">
      <c r="E280" s="33"/>
      <c r="F280" s="63"/>
      <c r="G280" s="63"/>
      <c r="H280" s="63"/>
    </row>
    <row r="281">
      <c r="E281" s="33"/>
      <c r="F281" s="63"/>
      <c r="G281" s="63"/>
      <c r="H281" s="63"/>
    </row>
    <row r="282">
      <c r="E282" s="33"/>
      <c r="F282" s="63"/>
      <c r="G282" s="63"/>
      <c r="H282" s="63"/>
    </row>
    <row r="283">
      <c r="E283" s="33"/>
      <c r="F283" s="63"/>
      <c r="G283" s="63"/>
      <c r="H283" s="63"/>
    </row>
    <row r="284">
      <c r="E284" s="33"/>
      <c r="F284" s="63"/>
      <c r="G284" s="63"/>
      <c r="H284" s="63"/>
    </row>
    <row r="285">
      <c r="E285" s="33"/>
      <c r="F285" s="63"/>
      <c r="G285" s="63"/>
      <c r="H285" s="63"/>
    </row>
    <row r="286">
      <c r="E286" s="33"/>
      <c r="F286" s="63"/>
      <c r="G286" s="63"/>
      <c r="H286" s="63"/>
    </row>
    <row r="287">
      <c r="E287" s="33"/>
      <c r="F287" s="63"/>
      <c r="G287" s="63"/>
      <c r="H287" s="63"/>
    </row>
    <row r="288">
      <c r="E288" s="33"/>
      <c r="F288" s="63"/>
      <c r="G288" s="63"/>
      <c r="H288" s="63"/>
    </row>
    <row r="289">
      <c r="E289" s="33"/>
      <c r="F289" s="63"/>
      <c r="G289" s="63"/>
      <c r="H289" s="63"/>
    </row>
    <row r="290">
      <c r="E290" s="33"/>
      <c r="F290" s="63"/>
      <c r="G290" s="63"/>
      <c r="H290" s="63"/>
    </row>
    <row r="291">
      <c r="E291" s="33"/>
      <c r="F291" s="63"/>
      <c r="G291" s="63"/>
      <c r="H291" s="63"/>
    </row>
    <row r="292">
      <c r="E292" s="33"/>
      <c r="F292" s="63"/>
      <c r="G292" s="63"/>
      <c r="H292" s="63"/>
    </row>
    <row r="293">
      <c r="E293" s="33"/>
      <c r="F293" s="63"/>
      <c r="G293" s="63"/>
      <c r="H293" s="63"/>
    </row>
    <row r="294">
      <c r="E294" s="33"/>
      <c r="F294" s="63"/>
      <c r="G294" s="63"/>
      <c r="H294" s="63"/>
    </row>
    <row r="295">
      <c r="E295" s="33"/>
      <c r="F295" s="63"/>
      <c r="G295" s="63"/>
      <c r="H295" s="63"/>
    </row>
    <row r="296">
      <c r="E296" s="33"/>
      <c r="F296" s="63"/>
      <c r="G296" s="63"/>
      <c r="H296" s="63"/>
    </row>
    <row r="297">
      <c r="E297" s="33"/>
      <c r="F297" s="63"/>
      <c r="G297" s="63"/>
      <c r="H297" s="63"/>
    </row>
    <row r="298">
      <c r="A298" s="64"/>
      <c r="E298" s="33"/>
      <c r="F298" s="63"/>
      <c r="G298" s="63"/>
      <c r="H298" s="63"/>
    </row>
    <row r="299">
      <c r="A299" s="64"/>
      <c r="E299" s="33"/>
      <c r="F299" s="63"/>
      <c r="G299" s="63"/>
      <c r="H299" s="63"/>
    </row>
    <row r="300">
      <c r="A300" s="64"/>
      <c r="E300" s="33"/>
      <c r="F300" s="63"/>
      <c r="G300" s="63"/>
      <c r="H300" s="63"/>
    </row>
    <row r="301">
      <c r="A301" s="64"/>
      <c r="E301" s="33"/>
      <c r="F301" s="63"/>
      <c r="G301" s="63"/>
      <c r="H301" s="63"/>
    </row>
    <row r="302">
      <c r="A302" s="64"/>
      <c r="E302" s="33"/>
      <c r="F302" s="63"/>
      <c r="G302" s="63"/>
      <c r="H302" s="63"/>
    </row>
    <row r="303">
      <c r="A303" s="64"/>
      <c r="E303" s="33"/>
      <c r="F303" s="63"/>
      <c r="G303" s="63"/>
      <c r="H303" s="63"/>
    </row>
    <row r="304">
      <c r="A304" s="64"/>
      <c r="E304" s="33"/>
      <c r="F304" s="63"/>
      <c r="G304" s="63"/>
      <c r="H304" s="63"/>
    </row>
    <row r="305">
      <c r="A305" s="64"/>
      <c r="E305" s="33"/>
      <c r="F305" s="63"/>
      <c r="G305" s="63"/>
      <c r="H305" s="63"/>
    </row>
    <row r="306">
      <c r="A306" s="64"/>
      <c r="E306" s="33"/>
      <c r="F306" s="63"/>
      <c r="G306" s="63"/>
      <c r="H306" s="63"/>
    </row>
    <row r="307">
      <c r="A307" s="64"/>
      <c r="E307" s="33"/>
      <c r="F307" s="63"/>
      <c r="G307" s="63"/>
      <c r="H307" s="63"/>
    </row>
    <row r="308">
      <c r="A308" s="64"/>
      <c r="E308" s="33"/>
      <c r="F308" s="63"/>
      <c r="G308" s="63"/>
      <c r="H308" s="63"/>
    </row>
    <row r="309">
      <c r="A309" s="64"/>
      <c r="E309" s="33"/>
      <c r="F309" s="63"/>
      <c r="G309" s="63"/>
      <c r="H309" s="63"/>
    </row>
    <row r="310">
      <c r="A310" s="64"/>
      <c r="E310" s="33"/>
      <c r="F310" s="63"/>
      <c r="G310" s="63"/>
      <c r="H310" s="63"/>
    </row>
    <row r="311">
      <c r="A311" s="64"/>
      <c r="E311" s="33"/>
      <c r="F311" s="63"/>
      <c r="G311" s="63"/>
      <c r="H311" s="63"/>
    </row>
    <row r="312">
      <c r="A312" s="64"/>
      <c r="E312" s="33"/>
      <c r="F312" s="63"/>
      <c r="G312" s="63"/>
      <c r="H312" s="63"/>
    </row>
    <row r="313">
      <c r="A313" s="64"/>
      <c r="E313" s="33"/>
      <c r="F313" s="63"/>
      <c r="G313" s="63"/>
      <c r="H313" s="63"/>
    </row>
    <row r="314">
      <c r="A314" s="64"/>
      <c r="E314" s="33"/>
      <c r="F314" s="63"/>
      <c r="G314" s="63"/>
      <c r="H314" s="63"/>
    </row>
    <row r="315">
      <c r="A315" s="64"/>
      <c r="E315" s="33"/>
      <c r="F315" s="63"/>
      <c r="G315" s="63"/>
      <c r="H315" s="63"/>
    </row>
    <row r="316">
      <c r="A316" s="64"/>
      <c r="E316" s="33"/>
      <c r="F316" s="63"/>
      <c r="G316" s="63"/>
      <c r="H316" s="63"/>
    </row>
    <row r="317">
      <c r="A317" s="64"/>
      <c r="E317" s="33"/>
      <c r="F317" s="63"/>
      <c r="G317" s="63"/>
      <c r="H317" s="63"/>
    </row>
    <row r="318">
      <c r="A318" s="64"/>
      <c r="E318" s="33"/>
      <c r="F318" s="63"/>
      <c r="G318" s="63"/>
      <c r="H318" s="63"/>
    </row>
    <row r="319">
      <c r="A319" s="64"/>
      <c r="E319" s="33"/>
      <c r="F319" s="63"/>
      <c r="G319" s="63"/>
      <c r="H319" s="63"/>
    </row>
    <row r="320">
      <c r="A320" s="64"/>
      <c r="E320" s="33"/>
      <c r="F320" s="63"/>
      <c r="G320" s="63"/>
      <c r="H320" s="63"/>
    </row>
    <row r="321">
      <c r="A321" s="64"/>
      <c r="E321" s="33"/>
      <c r="F321" s="63"/>
      <c r="G321" s="63"/>
      <c r="H321" s="63"/>
    </row>
    <row r="322">
      <c r="A322" s="64"/>
      <c r="E322" s="33"/>
      <c r="F322" s="63"/>
      <c r="G322" s="63"/>
      <c r="H322" s="63"/>
    </row>
    <row r="323">
      <c r="A323" s="64"/>
      <c r="E323" s="33"/>
      <c r="F323" s="63"/>
      <c r="G323" s="63"/>
      <c r="H323" s="63"/>
    </row>
    <row r="324">
      <c r="A324" s="64"/>
      <c r="E324" s="33"/>
      <c r="F324" s="63"/>
      <c r="G324" s="63"/>
      <c r="H324" s="63"/>
    </row>
    <row r="325">
      <c r="A325" s="64"/>
      <c r="E325" s="33"/>
      <c r="F325" s="63"/>
      <c r="G325" s="63"/>
      <c r="H325" s="63"/>
    </row>
    <row r="326">
      <c r="A326" s="64"/>
      <c r="E326" s="33"/>
      <c r="F326" s="63"/>
      <c r="G326" s="63"/>
      <c r="H326" s="63"/>
    </row>
    <row r="327">
      <c r="A327" s="64"/>
      <c r="E327" s="33"/>
      <c r="F327" s="63"/>
      <c r="G327" s="63"/>
      <c r="H327" s="63"/>
    </row>
    <row r="328">
      <c r="A328" s="64"/>
      <c r="E328" s="33"/>
      <c r="F328" s="63"/>
      <c r="G328" s="63"/>
      <c r="H328" s="63"/>
    </row>
    <row r="329">
      <c r="A329" s="64"/>
      <c r="E329" s="33"/>
      <c r="F329" s="63"/>
      <c r="G329" s="63"/>
      <c r="H329" s="63"/>
    </row>
    <row r="330">
      <c r="A330" s="64"/>
      <c r="E330" s="33"/>
      <c r="F330" s="63"/>
      <c r="G330" s="63"/>
      <c r="H330" s="63"/>
    </row>
    <row r="331">
      <c r="A331" s="64"/>
      <c r="E331" s="33"/>
      <c r="F331" s="63"/>
      <c r="G331" s="63"/>
      <c r="H331" s="63"/>
    </row>
    <row r="332">
      <c r="A332" s="64"/>
      <c r="E332" s="33"/>
      <c r="F332" s="63"/>
      <c r="G332" s="63"/>
      <c r="H332" s="63"/>
    </row>
    <row r="333">
      <c r="A333" s="64"/>
      <c r="E333" s="33"/>
      <c r="F333" s="63"/>
      <c r="G333" s="63"/>
      <c r="H333" s="63"/>
    </row>
    <row r="334">
      <c r="A334" s="64"/>
      <c r="E334" s="33"/>
      <c r="F334" s="63"/>
      <c r="G334" s="63"/>
      <c r="H334" s="63"/>
    </row>
    <row r="335">
      <c r="A335" s="64"/>
      <c r="E335" s="33"/>
      <c r="F335" s="63"/>
      <c r="G335" s="63"/>
      <c r="H335" s="63"/>
    </row>
    <row r="336">
      <c r="A336" s="64"/>
      <c r="E336" s="33"/>
      <c r="F336" s="63"/>
      <c r="G336" s="63"/>
      <c r="H336" s="63"/>
    </row>
    <row r="337">
      <c r="A337" s="64"/>
      <c r="E337" s="33"/>
      <c r="F337" s="63"/>
      <c r="G337" s="63"/>
      <c r="H337" s="63"/>
    </row>
    <row r="338">
      <c r="A338" s="64"/>
      <c r="E338" s="33"/>
      <c r="F338" s="63"/>
      <c r="G338" s="63"/>
      <c r="H338" s="63"/>
    </row>
    <row r="339">
      <c r="A339" s="64"/>
      <c r="E339" s="33"/>
      <c r="F339" s="63"/>
      <c r="G339" s="63"/>
      <c r="H339" s="63"/>
    </row>
    <row r="340">
      <c r="A340" s="64"/>
      <c r="E340" s="33"/>
      <c r="F340" s="63"/>
      <c r="G340" s="63"/>
      <c r="H340" s="63"/>
    </row>
    <row r="341">
      <c r="A341" s="64"/>
      <c r="E341" s="33"/>
      <c r="F341" s="63"/>
      <c r="G341" s="63"/>
      <c r="H341" s="63"/>
    </row>
    <row r="342">
      <c r="A342" s="64"/>
      <c r="E342" s="33"/>
      <c r="F342" s="63"/>
      <c r="G342" s="63"/>
      <c r="H342" s="63"/>
    </row>
    <row r="343">
      <c r="A343" s="64"/>
      <c r="E343" s="33"/>
      <c r="F343" s="63"/>
      <c r="G343" s="63"/>
      <c r="H343" s="63"/>
    </row>
    <row r="344">
      <c r="A344" s="64"/>
      <c r="E344" s="33"/>
      <c r="F344" s="63"/>
      <c r="G344" s="63"/>
      <c r="H344" s="63"/>
    </row>
    <row r="345">
      <c r="A345" s="64"/>
      <c r="E345" s="33"/>
      <c r="F345" s="63"/>
      <c r="G345" s="63"/>
      <c r="H345" s="63"/>
    </row>
    <row r="346">
      <c r="A346" s="64"/>
      <c r="E346" s="33"/>
      <c r="F346" s="63"/>
      <c r="G346" s="63"/>
      <c r="H346" s="63"/>
    </row>
    <row r="347">
      <c r="A347" s="64"/>
      <c r="E347" s="33"/>
      <c r="F347" s="63"/>
      <c r="G347" s="63"/>
      <c r="H347" s="63"/>
    </row>
    <row r="348">
      <c r="A348" s="64"/>
      <c r="E348" s="33"/>
      <c r="F348" s="63"/>
      <c r="G348" s="63"/>
      <c r="H348" s="63"/>
    </row>
    <row r="349">
      <c r="A349" s="64"/>
      <c r="E349" s="33"/>
      <c r="F349" s="63"/>
      <c r="G349" s="63"/>
      <c r="H349" s="63"/>
    </row>
    <row r="350">
      <c r="A350" s="64"/>
      <c r="E350" s="33"/>
      <c r="F350" s="63"/>
      <c r="G350" s="63"/>
      <c r="H350" s="63"/>
    </row>
    <row r="351">
      <c r="A351" s="64"/>
      <c r="E351" s="33"/>
      <c r="F351" s="63"/>
      <c r="G351" s="63"/>
      <c r="H351" s="63"/>
    </row>
    <row r="352">
      <c r="A352" s="64"/>
      <c r="E352" s="33"/>
      <c r="F352" s="63"/>
      <c r="G352" s="63"/>
      <c r="H352" s="63"/>
    </row>
    <row r="353">
      <c r="A353" s="64"/>
      <c r="E353" s="33"/>
      <c r="F353" s="63"/>
      <c r="G353" s="63"/>
      <c r="H353" s="63"/>
    </row>
    <row r="354">
      <c r="A354" s="64"/>
      <c r="E354" s="33"/>
      <c r="F354" s="63"/>
      <c r="G354" s="63"/>
      <c r="H354" s="63"/>
    </row>
    <row r="355">
      <c r="A355" s="64"/>
      <c r="E355" s="33"/>
      <c r="F355" s="63"/>
      <c r="G355" s="63"/>
      <c r="H355" s="63"/>
    </row>
    <row r="356">
      <c r="A356" s="64"/>
      <c r="E356" s="33"/>
      <c r="F356" s="63"/>
      <c r="G356" s="63"/>
      <c r="H356" s="63"/>
    </row>
    <row r="357">
      <c r="A357" s="64"/>
      <c r="E357" s="33"/>
      <c r="F357" s="63"/>
      <c r="G357" s="63"/>
      <c r="H357" s="63"/>
    </row>
    <row r="358">
      <c r="A358" s="64"/>
      <c r="E358" s="33"/>
      <c r="F358" s="63"/>
      <c r="G358" s="63"/>
      <c r="H358" s="63"/>
    </row>
    <row r="359">
      <c r="A359" s="64"/>
      <c r="E359" s="33"/>
      <c r="F359" s="63"/>
      <c r="G359" s="63"/>
      <c r="H359" s="63"/>
    </row>
    <row r="360">
      <c r="A360" s="64"/>
      <c r="E360" s="33"/>
      <c r="F360" s="63"/>
      <c r="G360" s="63"/>
      <c r="H360" s="63"/>
    </row>
    <row r="361">
      <c r="A361" s="64"/>
      <c r="E361" s="33"/>
      <c r="F361" s="63"/>
      <c r="G361" s="63"/>
      <c r="H361" s="63"/>
    </row>
    <row r="362">
      <c r="A362" s="64"/>
      <c r="E362" s="33"/>
      <c r="F362" s="63"/>
      <c r="G362" s="63"/>
      <c r="H362" s="63"/>
    </row>
    <row r="363">
      <c r="A363" s="64"/>
      <c r="E363" s="33"/>
      <c r="F363" s="63"/>
      <c r="G363" s="63"/>
      <c r="H363" s="63"/>
    </row>
    <row r="364">
      <c r="A364" s="64"/>
      <c r="E364" s="33"/>
      <c r="F364" s="63"/>
      <c r="G364" s="63"/>
      <c r="H364" s="63"/>
    </row>
    <row r="365">
      <c r="A365" s="64"/>
      <c r="E365" s="33"/>
      <c r="F365" s="63"/>
      <c r="G365" s="63"/>
      <c r="H365" s="63"/>
    </row>
    <row r="366">
      <c r="A366" s="64"/>
      <c r="E366" s="33"/>
      <c r="F366" s="63"/>
      <c r="G366" s="63"/>
      <c r="H366" s="63"/>
    </row>
    <row r="367">
      <c r="A367" s="64"/>
      <c r="E367" s="33"/>
      <c r="F367" s="63"/>
      <c r="G367" s="63"/>
      <c r="H367" s="63"/>
    </row>
    <row r="368">
      <c r="A368" s="64"/>
      <c r="E368" s="33"/>
      <c r="F368" s="63"/>
      <c r="G368" s="63"/>
      <c r="H368" s="63"/>
    </row>
    <row r="369">
      <c r="A369" s="64"/>
      <c r="E369" s="33"/>
      <c r="F369" s="63"/>
      <c r="G369" s="63"/>
      <c r="H369" s="63"/>
    </row>
    <row r="370">
      <c r="A370" s="64"/>
      <c r="E370" s="33"/>
      <c r="F370" s="63"/>
      <c r="G370" s="63"/>
      <c r="H370" s="63"/>
    </row>
    <row r="371">
      <c r="A371" s="64"/>
      <c r="E371" s="33"/>
      <c r="F371" s="63"/>
      <c r="G371" s="63"/>
      <c r="H371" s="63"/>
    </row>
    <row r="372">
      <c r="A372" s="64"/>
      <c r="E372" s="33"/>
      <c r="F372" s="63"/>
      <c r="G372" s="63"/>
      <c r="H372" s="63"/>
    </row>
    <row r="373">
      <c r="A373" s="64"/>
      <c r="E373" s="33"/>
      <c r="F373" s="63"/>
      <c r="G373" s="63"/>
      <c r="H373" s="63"/>
    </row>
    <row r="374">
      <c r="A374" s="64"/>
      <c r="E374" s="33"/>
      <c r="F374" s="63"/>
      <c r="G374" s="63"/>
      <c r="H374" s="63"/>
    </row>
    <row r="375">
      <c r="A375" s="64"/>
      <c r="E375" s="33"/>
      <c r="F375" s="63"/>
      <c r="G375" s="63"/>
      <c r="H375" s="63"/>
    </row>
    <row r="376">
      <c r="A376" s="64"/>
      <c r="E376" s="33"/>
      <c r="F376" s="63"/>
      <c r="G376" s="63"/>
      <c r="H376" s="63"/>
    </row>
    <row r="377">
      <c r="A377" s="64"/>
      <c r="E377" s="33"/>
      <c r="F377" s="63"/>
      <c r="G377" s="63"/>
      <c r="H377" s="63"/>
    </row>
    <row r="378">
      <c r="A378" s="64"/>
      <c r="E378" s="33"/>
      <c r="F378" s="63"/>
      <c r="G378" s="63"/>
      <c r="H378" s="63"/>
    </row>
    <row r="379">
      <c r="A379" s="64"/>
      <c r="E379" s="33"/>
      <c r="F379" s="63"/>
      <c r="G379" s="63"/>
      <c r="H379" s="63"/>
    </row>
    <row r="380">
      <c r="A380" s="64"/>
      <c r="E380" s="33"/>
      <c r="F380" s="63"/>
      <c r="G380" s="63"/>
      <c r="H380" s="63"/>
    </row>
    <row r="381">
      <c r="A381" s="64"/>
      <c r="E381" s="33"/>
      <c r="F381" s="63"/>
      <c r="G381" s="63"/>
      <c r="H381" s="63"/>
    </row>
    <row r="382">
      <c r="A382" s="64"/>
      <c r="E382" s="33"/>
      <c r="F382" s="63"/>
      <c r="G382" s="63"/>
      <c r="H382" s="63"/>
    </row>
    <row r="383">
      <c r="A383" s="64"/>
      <c r="E383" s="33"/>
      <c r="F383" s="63"/>
      <c r="G383" s="63"/>
      <c r="H383" s="63"/>
    </row>
    <row r="384">
      <c r="A384" s="64"/>
      <c r="E384" s="33"/>
      <c r="F384" s="63"/>
      <c r="G384" s="63"/>
      <c r="H384" s="63"/>
    </row>
    <row r="385">
      <c r="A385" s="64"/>
      <c r="E385" s="33"/>
      <c r="F385" s="63"/>
      <c r="G385" s="63"/>
      <c r="H385" s="63"/>
    </row>
    <row r="386">
      <c r="A386" s="64"/>
      <c r="E386" s="33"/>
      <c r="F386" s="63"/>
      <c r="G386" s="63"/>
      <c r="H386" s="63"/>
    </row>
    <row r="387">
      <c r="A387" s="64"/>
      <c r="E387" s="33"/>
      <c r="F387" s="63"/>
      <c r="G387" s="63"/>
      <c r="H387" s="63"/>
    </row>
    <row r="388">
      <c r="A388" s="64"/>
      <c r="E388" s="33"/>
      <c r="F388" s="63"/>
      <c r="G388" s="63"/>
      <c r="H388" s="63"/>
    </row>
    <row r="389">
      <c r="A389" s="64"/>
      <c r="E389" s="33"/>
      <c r="F389" s="63"/>
      <c r="G389" s="63"/>
      <c r="H389" s="63"/>
    </row>
    <row r="390">
      <c r="A390" s="64"/>
      <c r="E390" s="33"/>
      <c r="F390" s="63"/>
      <c r="G390" s="63"/>
      <c r="H390" s="63"/>
    </row>
    <row r="391">
      <c r="A391" s="64"/>
      <c r="E391" s="33"/>
      <c r="F391" s="63"/>
      <c r="G391" s="63"/>
      <c r="H391" s="63"/>
    </row>
    <row r="392">
      <c r="A392" s="64"/>
      <c r="E392" s="33"/>
      <c r="F392" s="63"/>
      <c r="G392" s="63"/>
      <c r="H392" s="63"/>
    </row>
    <row r="393">
      <c r="A393" s="64"/>
      <c r="E393" s="33"/>
      <c r="F393" s="63"/>
      <c r="G393" s="63"/>
      <c r="H393" s="63"/>
    </row>
    <row r="394">
      <c r="A394" s="64"/>
      <c r="E394" s="33"/>
      <c r="F394" s="63"/>
      <c r="G394" s="63"/>
      <c r="H394" s="63"/>
    </row>
    <row r="395">
      <c r="A395" s="64"/>
      <c r="E395" s="33"/>
      <c r="F395" s="63"/>
      <c r="G395" s="63"/>
      <c r="H395" s="63"/>
    </row>
    <row r="396">
      <c r="A396" s="64"/>
      <c r="E396" s="33"/>
      <c r="F396" s="63"/>
      <c r="G396" s="63"/>
      <c r="H396" s="63"/>
    </row>
    <row r="397">
      <c r="A397" s="64"/>
      <c r="E397" s="33"/>
      <c r="F397" s="63"/>
      <c r="G397" s="63"/>
      <c r="H397" s="63"/>
    </row>
    <row r="398">
      <c r="A398" s="64"/>
      <c r="E398" s="33"/>
      <c r="F398" s="63"/>
      <c r="G398" s="63"/>
      <c r="H398" s="63"/>
    </row>
    <row r="399">
      <c r="A399" s="64"/>
      <c r="E399" s="33"/>
      <c r="F399" s="63"/>
      <c r="G399" s="63"/>
      <c r="H399" s="63"/>
    </row>
    <row r="400">
      <c r="A400" s="64"/>
      <c r="E400" s="33"/>
      <c r="F400" s="63"/>
      <c r="G400" s="63"/>
      <c r="H400" s="63"/>
    </row>
    <row r="401">
      <c r="A401" s="64"/>
      <c r="E401" s="33"/>
      <c r="F401" s="63"/>
      <c r="G401" s="63"/>
      <c r="H401" s="63"/>
    </row>
    <row r="402">
      <c r="A402" s="64"/>
      <c r="E402" s="33"/>
      <c r="F402" s="63"/>
      <c r="G402" s="63"/>
      <c r="H402" s="63"/>
    </row>
    <row r="403">
      <c r="A403" s="64"/>
      <c r="E403" s="33"/>
      <c r="F403" s="63"/>
      <c r="G403" s="63"/>
      <c r="H403" s="63"/>
    </row>
    <row r="404">
      <c r="A404" s="64"/>
      <c r="E404" s="33"/>
      <c r="F404" s="63"/>
      <c r="G404" s="63"/>
      <c r="H404" s="63"/>
    </row>
    <row r="405">
      <c r="A405" s="64"/>
      <c r="E405" s="33"/>
      <c r="F405" s="63"/>
      <c r="G405" s="63"/>
      <c r="H405" s="63"/>
    </row>
    <row r="406">
      <c r="A406" s="64"/>
      <c r="E406" s="33"/>
      <c r="F406" s="63"/>
      <c r="G406" s="63"/>
      <c r="H406" s="63"/>
    </row>
    <row r="407">
      <c r="A407" s="64"/>
      <c r="E407" s="33"/>
      <c r="F407" s="63"/>
      <c r="G407" s="63"/>
      <c r="H407" s="63"/>
    </row>
    <row r="408">
      <c r="A408" s="64"/>
      <c r="E408" s="33"/>
      <c r="F408" s="63"/>
      <c r="G408" s="63"/>
      <c r="H408" s="63"/>
    </row>
    <row r="409">
      <c r="A409" s="64"/>
      <c r="E409" s="33"/>
      <c r="F409" s="63"/>
      <c r="G409" s="63"/>
      <c r="H409" s="63"/>
    </row>
    <row r="410">
      <c r="A410" s="64"/>
      <c r="E410" s="33"/>
      <c r="F410" s="63"/>
      <c r="G410" s="63"/>
      <c r="H410" s="63"/>
    </row>
    <row r="411">
      <c r="A411" s="64"/>
      <c r="E411" s="33"/>
      <c r="F411" s="63"/>
      <c r="G411" s="63"/>
      <c r="H411" s="63"/>
    </row>
    <row r="412">
      <c r="A412" s="64"/>
      <c r="E412" s="33"/>
      <c r="F412" s="63"/>
      <c r="G412" s="63"/>
      <c r="H412" s="63"/>
    </row>
    <row r="413">
      <c r="A413" s="64"/>
      <c r="E413" s="33"/>
      <c r="F413" s="63"/>
      <c r="G413" s="63"/>
      <c r="H413" s="63"/>
    </row>
    <row r="414">
      <c r="A414" s="64"/>
      <c r="E414" s="33"/>
      <c r="F414" s="63"/>
      <c r="G414" s="63"/>
      <c r="H414" s="63"/>
    </row>
    <row r="415">
      <c r="A415" s="64"/>
      <c r="E415" s="33"/>
      <c r="F415" s="63"/>
      <c r="G415" s="63"/>
      <c r="H415" s="63"/>
    </row>
    <row r="416">
      <c r="A416" s="64"/>
      <c r="E416" s="33"/>
      <c r="F416" s="63"/>
      <c r="G416" s="63"/>
      <c r="H416" s="63"/>
    </row>
    <row r="417">
      <c r="A417" s="64"/>
      <c r="E417" s="33"/>
      <c r="F417" s="63"/>
      <c r="G417" s="63"/>
      <c r="H417" s="63"/>
    </row>
    <row r="418">
      <c r="A418" s="64"/>
      <c r="E418" s="33"/>
      <c r="F418" s="63"/>
      <c r="G418" s="63"/>
      <c r="H418" s="63"/>
    </row>
    <row r="419">
      <c r="A419" s="64"/>
      <c r="E419" s="33"/>
      <c r="F419" s="63"/>
      <c r="G419" s="63"/>
      <c r="H419" s="63"/>
    </row>
    <row r="420">
      <c r="A420" s="64"/>
      <c r="E420" s="33"/>
      <c r="F420" s="63"/>
      <c r="G420" s="63"/>
      <c r="H420" s="63"/>
    </row>
    <row r="421">
      <c r="A421" s="64"/>
      <c r="E421" s="33"/>
      <c r="F421" s="63"/>
      <c r="G421" s="63"/>
      <c r="H421" s="63"/>
    </row>
    <row r="422">
      <c r="A422" s="64"/>
      <c r="E422" s="33"/>
      <c r="F422" s="63"/>
      <c r="G422" s="63"/>
      <c r="H422" s="63"/>
    </row>
    <row r="423">
      <c r="A423" s="64"/>
      <c r="E423" s="33"/>
      <c r="F423" s="63"/>
      <c r="G423" s="63"/>
      <c r="H423" s="63"/>
    </row>
    <row r="424">
      <c r="A424" s="64"/>
      <c r="E424" s="33"/>
      <c r="F424" s="63"/>
      <c r="G424" s="63"/>
      <c r="H424" s="63"/>
    </row>
    <row r="425">
      <c r="A425" s="64"/>
      <c r="E425" s="33"/>
      <c r="F425" s="63"/>
      <c r="G425" s="63"/>
      <c r="H425" s="63"/>
    </row>
    <row r="426">
      <c r="A426" s="64"/>
      <c r="E426" s="33"/>
      <c r="F426" s="63"/>
      <c r="G426" s="63"/>
      <c r="H426" s="63"/>
    </row>
    <row r="427">
      <c r="A427" s="64"/>
      <c r="E427" s="33"/>
      <c r="F427" s="63"/>
      <c r="G427" s="63"/>
      <c r="H427" s="63"/>
    </row>
    <row r="428">
      <c r="A428" s="64"/>
      <c r="E428" s="33"/>
      <c r="F428" s="63"/>
      <c r="G428" s="63"/>
      <c r="H428" s="63"/>
    </row>
    <row r="429">
      <c r="A429" s="64"/>
      <c r="E429" s="33"/>
      <c r="F429" s="63"/>
      <c r="G429" s="63"/>
      <c r="H429" s="63"/>
    </row>
    <row r="430">
      <c r="A430" s="64"/>
      <c r="E430" s="33"/>
      <c r="F430" s="63"/>
      <c r="G430" s="63"/>
      <c r="H430" s="63"/>
    </row>
    <row r="431">
      <c r="A431" s="64"/>
      <c r="E431" s="33"/>
      <c r="F431" s="63"/>
      <c r="G431" s="63"/>
      <c r="H431" s="63"/>
    </row>
    <row r="432">
      <c r="A432" s="64"/>
      <c r="E432" s="33"/>
      <c r="F432" s="63"/>
      <c r="G432" s="63"/>
      <c r="H432" s="63"/>
    </row>
    <row r="433">
      <c r="A433" s="64"/>
      <c r="E433" s="33"/>
      <c r="F433" s="63"/>
      <c r="G433" s="63"/>
      <c r="H433" s="63"/>
    </row>
    <row r="434">
      <c r="A434" s="64"/>
      <c r="E434" s="33"/>
      <c r="F434" s="63"/>
      <c r="G434" s="63"/>
      <c r="H434" s="63"/>
    </row>
    <row r="435">
      <c r="A435" s="64"/>
      <c r="E435" s="33"/>
      <c r="F435" s="63"/>
      <c r="G435" s="63"/>
      <c r="H435" s="63"/>
    </row>
    <row r="436">
      <c r="A436" s="64"/>
      <c r="E436" s="33"/>
      <c r="F436" s="63"/>
      <c r="G436" s="63"/>
      <c r="H436" s="63"/>
    </row>
    <row r="437">
      <c r="A437" s="64"/>
      <c r="E437" s="33"/>
      <c r="F437" s="63"/>
      <c r="G437" s="63"/>
      <c r="H437" s="63"/>
    </row>
    <row r="438">
      <c r="A438" s="64"/>
      <c r="E438" s="33"/>
      <c r="F438" s="63"/>
      <c r="G438" s="63"/>
      <c r="H438" s="63"/>
    </row>
    <row r="439">
      <c r="A439" s="64"/>
      <c r="E439" s="33"/>
      <c r="F439" s="63"/>
      <c r="G439" s="63"/>
      <c r="H439" s="63"/>
    </row>
    <row r="440">
      <c r="A440" s="64"/>
      <c r="E440" s="33"/>
      <c r="F440" s="63"/>
      <c r="G440" s="63"/>
      <c r="H440" s="63"/>
    </row>
    <row r="441">
      <c r="A441" s="64"/>
      <c r="E441" s="33"/>
      <c r="F441" s="63"/>
      <c r="G441" s="63"/>
      <c r="H441" s="63"/>
    </row>
    <row r="442">
      <c r="A442" s="64"/>
      <c r="E442" s="33"/>
      <c r="F442" s="63"/>
      <c r="G442" s="63"/>
      <c r="H442" s="63"/>
    </row>
    <row r="443">
      <c r="A443" s="64"/>
      <c r="E443" s="33"/>
      <c r="F443" s="63"/>
      <c r="G443" s="63"/>
      <c r="H443" s="63"/>
    </row>
    <row r="444">
      <c r="A444" s="64"/>
      <c r="E444" s="33"/>
      <c r="F444" s="63"/>
      <c r="G444" s="63"/>
      <c r="H444" s="63"/>
    </row>
    <row r="445">
      <c r="A445" s="64"/>
      <c r="E445" s="33"/>
      <c r="F445" s="63"/>
      <c r="G445" s="63"/>
      <c r="H445" s="63"/>
    </row>
    <row r="446">
      <c r="A446" s="64"/>
      <c r="E446" s="33"/>
      <c r="F446" s="63"/>
      <c r="G446" s="63"/>
      <c r="H446" s="63"/>
    </row>
    <row r="447">
      <c r="A447" s="64"/>
      <c r="E447" s="33"/>
      <c r="F447" s="63"/>
      <c r="G447" s="63"/>
      <c r="H447" s="63"/>
    </row>
    <row r="448">
      <c r="A448" s="64"/>
      <c r="E448" s="33"/>
      <c r="F448" s="63"/>
      <c r="G448" s="63"/>
      <c r="H448" s="63"/>
    </row>
    <row r="449">
      <c r="A449" s="64"/>
      <c r="E449" s="33"/>
      <c r="F449" s="63"/>
      <c r="G449" s="63"/>
      <c r="H449" s="63"/>
    </row>
    <row r="450">
      <c r="A450" s="64"/>
      <c r="E450" s="33"/>
      <c r="F450" s="63"/>
      <c r="G450" s="63"/>
      <c r="H450" s="63"/>
    </row>
    <row r="451">
      <c r="A451" s="64"/>
      <c r="E451" s="33"/>
      <c r="F451" s="63"/>
      <c r="G451" s="63"/>
      <c r="H451" s="63"/>
    </row>
    <row r="452">
      <c r="A452" s="64"/>
      <c r="E452" s="33"/>
      <c r="F452" s="63"/>
      <c r="G452" s="63"/>
      <c r="H452" s="63"/>
    </row>
    <row r="453">
      <c r="A453" s="64"/>
      <c r="E453" s="33"/>
      <c r="F453" s="63"/>
      <c r="G453" s="63"/>
      <c r="H453" s="63"/>
    </row>
    <row r="454">
      <c r="A454" s="64"/>
      <c r="E454" s="33"/>
      <c r="F454" s="63"/>
      <c r="G454" s="63"/>
      <c r="H454" s="63"/>
    </row>
    <row r="455">
      <c r="A455" s="64"/>
      <c r="E455" s="33"/>
      <c r="F455" s="63"/>
      <c r="G455" s="63"/>
      <c r="H455" s="63"/>
    </row>
    <row r="456">
      <c r="A456" s="64"/>
      <c r="E456" s="33"/>
      <c r="F456" s="63"/>
      <c r="G456" s="63"/>
      <c r="H456" s="63"/>
    </row>
    <row r="457">
      <c r="A457" s="64"/>
      <c r="E457" s="33"/>
      <c r="F457" s="63"/>
      <c r="G457" s="63"/>
      <c r="H457" s="63"/>
    </row>
    <row r="458">
      <c r="A458" s="64"/>
      <c r="E458" s="33"/>
      <c r="F458" s="63"/>
      <c r="G458" s="63"/>
      <c r="H458" s="63"/>
    </row>
    <row r="459">
      <c r="A459" s="64"/>
      <c r="E459" s="33"/>
      <c r="F459" s="63"/>
      <c r="G459" s="63"/>
      <c r="H459" s="63"/>
    </row>
    <row r="460">
      <c r="A460" s="64"/>
      <c r="E460" s="33"/>
      <c r="F460" s="63"/>
      <c r="G460" s="63"/>
      <c r="H460" s="63"/>
    </row>
    <row r="461">
      <c r="A461" s="64"/>
      <c r="E461" s="33"/>
      <c r="F461" s="63"/>
      <c r="G461" s="63"/>
      <c r="H461" s="63"/>
    </row>
    <row r="462">
      <c r="A462" s="64"/>
      <c r="E462" s="33"/>
      <c r="F462" s="63"/>
      <c r="G462" s="63"/>
      <c r="H462" s="63"/>
    </row>
    <row r="463">
      <c r="A463" s="64"/>
      <c r="E463" s="33"/>
      <c r="F463" s="63"/>
      <c r="G463" s="63"/>
      <c r="H463" s="63"/>
    </row>
    <row r="464">
      <c r="A464" s="64"/>
      <c r="E464" s="33"/>
      <c r="F464" s="63"/>
      <c r="G464" s="63"/>
      <c r="H464" s="63"/>
    </row>
    <row r="465">
      <c r="A465" s="64"/>
      <c r="E465" s="33"/>
      <c r="F465" s="63"/>
      <c r="G465" s="63"/>
      <c r="H465" s="63"/>
    </row>
    <row r="466">
      <c r="A466" s="64"/>
      <c r="E466" s="33"/>
      <c r="F466" s="63"/>
      <c r="G466" s="63"/>
      <c r="H466" s="63"/>
    </row>
    <row r="467">
      <c r="A467" s="64"/>
      <c r="E467" s="33"/>
      <c r="F467" s="63"/>
      <c r="G467" s="63"/>
      <c r="H467" s="63"/>
    </row>
    <row r="468">
      <c r="A468" s="64"/>
      <c r="E468" s="33"/>
      <c r="F468" s="63"/>
      <c r="G468" s="63"/>
      <c r="H468" s="63"/>
    </row>
    <row r="469">
      <c r="A469" s="64"/>
      <c r="E469" s="33"/>
      <c r="F469" s="63"/>
      <c r="G469" s="63"/>
      <c r="H469" s="63"/>
    </row>
    <row r="470">
      <c r="A470" s="64"/>
      <c r="E470" s="33"/>
      <c r="F470" s="63"/>
      <c r="G470" s="63"/>
      <c r="H470" s="63"/>
    </row>
    <row r="471">
      <c r="A471" s="64"/>
      <c r="E471" s="33"/>
      <c r="F471" s="63"/>
      <c r="G471" s="63"/>
      <c r="H471" s="63"/>
    </row>
    <row r="472">
      <c r="A472" s="64"/>
      <c r="E472" s="33"/>
      <c r="F472" s="63"/>
      <c r="G472" s="63"/>
      <c r="H472" s="63"/>
    </row>
    <row r="473">
      <c r="A473" s="64"/>
      <c r="E473" s="33"/>
      <c r="F473" s="63"/>
      <c r="G473" s="63"/>
      <c r="H473" s="63"/>
    </row>
    <row r="474">
      <c r="A474" s="64"/>
      <c r="E474" s="33"/>
      <c r="F474" s="63"/>
      <c r="G474" s="63"/>
      <c r="H474" s="63"/>
    </row>
    <row r="475">
      <c r="A475" s="64"/>
      <c r="E475" s="33"/>
      <c r="F475" s="63"/>
      <c r="G475" s="63"/>
      <c r="H475" s="63"/>
    </row>
    <row r="476">
      <c r="A476" s="64"/>
      <c r="E476" s="33"/>
      <c r="F476" s="63"/>
      <c r="G476" s="63"/>
      <c r="H476" s="63"/>
    </row>
    <row r="477">
      <c r="A477" s="64"/>
      <c r="E477" s="33"/>
      <c r="F477" s="63"/>
      <c r="G477" s="63"/>
      <c r="H477" s="63"/>
    </row>
    <row r="478">
      <c r="A478" s="64"/>
      <c r="E478" s="33"/>
      <c r="F478" s="63"/>
      <c r="G478" s="63"/>
      <c r="H478" s="63"/>
    </row>
    <row r="479">
      <c r="A479" s="64"/>
      <c r="E479" s="33"/>
      <c r="F479" s="63"/>
      <c r="G479" s="63"/>
      <c r="H479" s="63"/>
    </row>
    <row r="480">
      <c r="A480" s="64"/>
      <c r="E480" s="33"/>
      <c r="F480" s="63"/>
      <c r="G480" s="63"/>
      <c r="H480" s="63"/>
    </row>
    <row r="481">
      <c r="A481" s="64"/>
      <c r="E481" s="33"/>
      <c r="F481" s="63"/>
      <c r="G481" s="63"/>
      <c r="H481" s="63"/>
    </row>
    <row r="482">
      <c r="A482" s="64"/>
      <c r="E482" s="33"/>
      <c r="F482" s="63"/>
      <c r="G482" s="63"/>
      <c r="H482" s="63"/>
    </row>
    <row r="483">
      <c r="A483" s="64"/>
      <c r="E483" s="33"/>
      <c r="F483" s="63"/>
      <c r="G483" s="63"/>
      <c r="H483" s="63"/>
    </row>
    <row r="484">
      <c r="A484" s="64"/>
      <c r="E484" s="33"/>
      <c r="F484" s="63"/>
      <c r="G484" s="63"/>
      <c r="H484" s="63"/>
    </row>
    <row r="485">
      <c r="A485" s="64"/>
      <c r="E485" s="33"/>
      <c r="F485" s="63"/>
      <c r="G485" s="63"/>
      <c r="H485" s="63"/>
    </row>
    <row r="486">
      <c r="A486" s="64"/>
      <c r="E486" s="33"/>
      <c r="F486" s="63"/>
      <c r="G486" s="63"/>
      <c r="H486" s="63"/>
    </row>
    <row r="487">
      <c r="A487" s="64"/>
      <c r="E487" s="33"/>
      <c r="F487" s="63"/>
      <c r="G487" s="63"/>
      <c r="H487" s="63"/>
    </row>
    <row r="488">
      <c r="A488" s="64"/>
      <c r="E488" s="33"/>
      <c r="F488" s="63"/>
      <c r="G488" s="63"/>
      <c r="H488" s="63"/>
    </row>
    <row r="489">
      <c r="A489" s="64"/>
      <c r="E489" s="33"/>
      <c r="F489" s="63"/>
      <c r="G489" s="63"/>
      <c r="H489" s="63"/>
    </row>
    <row r="490">
      <c r="A490" s="64"/>
      <c r="E490" s="33"/>
      <c r="F490" s="63"/>
      <c r="G490" s="63"/>
      <c r="H490" s="63"/>
    </row>
    <row r="491">
      <c r="A491" s="64"/>
      <c r="E491" s="33"/>
      <c r="F491" s="63"/>
      <c r="G491" s="63"/>
      <c r="H491" s="63"/>
    </row>
    <row r="492">
      <c r="A492" s="64"/>
      <c r="E492" s="33"/>
      <c r="F492" s="63"/>
      <c r="G492" s="63"/>
      <c r="H492" s="63"/>
    </row>
    <row r="493">
      <c r="A493" s="64"/>
      <c r="E493" s="33"/>
      <c r="F493" s="63"/>
      <c r="G493" s="63"/>
      <c r="H493" s="63"/>
    </row>
    <row r="494">
      <c r="A494" s="64"/>
      <c r="E494" s="33"/>
      <c r="F494" s="63"/>
      <c r="G494" s="63"/>
      <c r="H494" s="63"/>
    </row>
    <row r="495">
      <c r="A495" s="64"/>
      <c r="E495" s="33"/>
      <c r="F495" s="63"/>
      <c r="G495" s="63"/>
      <c r="H495" s="63"/>
    </row>
    <row r="496">
      <c r="A496" s="64"/>
      <c r="E496" s="33"/>
      <c r="F496" s="63"/>
      <c r="G496" s="63"/>
      <c r="H496" s="63"/>
    </row>
    <row r="497">
      <c r="A497" s="64"/>
      <c r="E497" s="33"/>
      <c r="F497" s="63"/>
      <c r="G497" s="63"/>
      <c r="H497" s="63"/>
    </row>
    <row r="498">
      <c r="A498" s="64"/>
      <c r="E498" s="33"/>
      <c r="F498" s="63"/>
      <c r="G498" s="63"/>
      <c r="H498" s="63"/>
    </row>
    <row r="499">
      <c r="A499" s="64"/>
      <c r="E499" s="33"/>
      <c r="F499" s="63"/>
      <c r="G499" s="63"/>
      <c r="H499" s="63"/>
    </row>
    <row r="500">
      <c r="A500" s="64"/>
      <c r="E500" s="33"/>
      <c r="F500" s="63"/>
      <c r="G500" s="63"/>
      <c r="H500" s="63"/>
    </row>
    <row r="501">
      <c r="A501" s="64"/>
      <c r="E501" s="33"/>
      <c r="F501" s="63"/>
      <c r="G501" s="63"/>
      <c r="H501" s="63"/>
    </row>
    <row r="502">
      <c r="A502" s="64"/>
      <c r="E502" s="33"/>
      <c r="F502" s="63"/>
      <c r="G502" s="63"/>
      <c r="H502" s="63"/>
    </row>
    <row r="503">
      <c r="A503" s="64"/>
      <c r="E503" s="33"/>
      <c r="F503" s="63"/>
      <c r="G503" s="63"/>
      <c r="H503" s="63"/>
    </row>
    <row r="504">
      <c r="A504" s="64"/>
      <c r="E504" s="33"/>
      <c r="F504" s="63"/>
      <c r="G504" s="63"/>
      <c r="H504" s="63"/>
    </row>
    <row r="505">
      <c r="A505" s="64"/>
      <c r="E505" s="33"/>
      <c r="F505" s="63"/>
      <c r="G505" s="63"/>
      <c r="H505" s="63"/>
    </row>
    <row r="506">
      <c r="A506" s="64"/>
      <c r="E506" s="33"/>
      <c r="F506" s="63"/>
      <c r="G506" s="63"/>
      <c r="H506" s="63"/>
    </row>
    <row r="507">
      <c r="A507" s="64"/>
      <c r="E507" s="33"/>
      <c r="F507" s="63"/>
      <c r="G507" s="63"/>
      <c r="H507" s="63"/>
    </row>
    <row r="508">
      <c r="A508" s="64"/>
      <c r="E508" s="33"/>
      <c r="F508" s="63"/>
      <c r="G508" s="63"/>
      <c r="H508" s="63"/>
    </row>
    <row r="509">
      <c r="A509" s="64"/>
      <c r="E509" s="33"/>
      <c r="F509" s="63"/>
      <c r="G509" s="63"/>
      <c r="H509" s="63"/>
    </row>
    <row r="510">
      <c r="A510" s="64"/>
      <c r="E510" s="33"/>
      <c r="F510" s="63"/>
      <c r="G510" s="63"/>
      <c r="H510" s="63"/>
    </row>
    <row r="511">
      <c r="A511" s="64"/>
      <c r="E511" s="33"/>
      <c r="F511" s="63"/>
      <c r="G511" s="63"/>
      <c r="H511" s="63"/>
    </row>
    <row r="512">
      <c r="A512" s="64"/>
      <c r="E512" s="33"/>
      <c r="F512" s="63"/>
      <c r="G512" s="63"/>
      <c r="H512" s="63"/>
    </row>
    <row r="513">
      <c r="A513" s="64"/>
      <c r="E513" s="33"/>
      <c r="F513" s="63"/>
      <c r="G513" s="63"/>
      <c r="H513" s="63"/>
    </row>
    <row r="514">
      <c r="A514" s="64"/>
      <c r="E514" s="33"/>
      <c r="F514" s="63"/>
      <c r="G514" s="63"/>
      <c r="H514" s="63"/>
    </row>
    <row r="515">
      <c r="A515" s="64"/>
      <c r="E515" s="33"/>
      <c r="F515" s="63"/>
      <c r="G515" s="63"/>
      <c r="H515" s="63"/>
    </row>
    <row r="516">
      <c r="A516" s="64"/>
      <c r="E516" s="33"/>
      <c r="F516" s="63"/>
      <c r="G516" s="63"/>
      <c r="H516" s="63"/>
    </row>
    <row r="517">
      <c r="A517" s="64"/>
      <c r="E517" s="33"/>
      <c r="F517" s="63"/>
      <c r="G517" s="63"/>
      <c r="H517" s="63"/>
    </row>
    <row r="518">
      <c r="A518" s="64"/>
      <c r="E518" s="33"/>
      <c r="F518" s="63"/>
      <c r="G518" s="63"/>
      <c r="H518" s="63"/>
    </row>
    <row r="519">
      <c r="A519" s="64"/>
      <c r="E519" s="33"/>
      <c r="F519" s="63"/>
      <c r="G519" s="63"/>
      <c r="H519" s="63"/>
    </row>
    <row r="520">
      <c r="A520" s="64"/>
      <c r="E520" s="33"/>
      <c r="F520" s="63"/>
      <c r="G520" s="63"/>
      <c r="H520" s="63"/>
    </row>
    <row r="521">
      <c r="A521" s="64"/>
      <c r="E521" s="33"/>
      <c r="F521" s="63"/>
      <c r="G521" s="63"/>
      <c r="H521" s="63"/>
    </row>
    <row r="522">
      <c r="A522" s="64"/>
      <c r="E522" s="33"/>
      <c r="F522" s="63"/>
      <c r="G522" s="63"/>
      <c r="H522" s="63"/>
    </row>
    <row r="523">
      <c r="A523" s="64"/>
      <c r="E523" s="33"/>
      <c r="F523" s="63"/>
      <c r="G523" s="63"/>
      <c r="H523" s="63"/>
    </row>
    <row r="524">
      <c r="A524" s="64"/>
      <c r="E524" s="33"/>
      <c r="F524" s="63"/>
      <c r="G524" s="63"/>
      <c r="H524" s="63"/>
    </row>
    <row r="525">
      <c r="A525" s="64"/>
      <c r="E525" s="33"/>
      <c r="F525" s="63"/>
      <c r="G525" s="63"/>
      <c r="H525" s="63"/>
    </row>
    <row r="526">
      <c r="A526" s="64"/>
      <c r="E526" s="33"/>
      <c r="F526" s="63"/>
      <c r="G526" s="63"/>
      <c r="H526" s="63"/>
    </row>
    <row r="527">
      <c r="A527" s="64"/>
      <c r="E527" s="33"/>
      <c r="F527" s="63"/>
      <c r="G527" s="63"/>
      <c r="H527" s="63"/>
    </row>
    <row r="528">
      <c r="A528" s="64"/>
      <c r="E528" s="33"/>
      <c r="F528" s="63"/>
      <c r="G528" s="63"/>
      <c r="H528" s="63"/>
    </row>
    <row r="529">
      <c r="A529" s="64"/>
      <c r="E529" s="33"/>
      <c r="F529" s="63"/>
      <c r="G529" s="63"/>
      <c r="H529" s="63"/>
    </row>
    <row r="530">
      <c r="A530" s="64"/>
      <c r="E530" s="33"/>
      <c r="F530" s="63"/>
      <c r="G530" s="63"/>
      <c r="H530" s="63"/>
    </row>
    <row r="531">
      <c r="A531" s="64"/>
      <c r="E531" s="33"/>
      <c r="F531" s="63"/>
      <c r="G531" s="63"/>
      <c r="H531" s="63"/>
    </row>
    <row r="532">
      <c r="A532" s="64"/>
      <c r="E532" s="33"/>
      <c r="F532" s="63"/>
      <c r="G532" s="63"/>
      <c r="H532" s="63"/>
    </row>
    <row r="533">
      <c r="A533" s="64"/>
      <c r="E533" s="33"/>
      <c r="F533" s="63"/>
      <c r="G533" s="63"/>
      <c r="H533" s="63"/>
    </row>
    <row r="534">
      <c r="A534" s="64"/>
      <c r="E534" s="33"/>
      <c r="F534" s="63"/>
      <c r="G534" s="63"/>
      <c r="H534" s="63"/>
    </row>
    <row r="535">
      <c r="A535" s="64"/>
      <c r="E535" s="33"/>
      <c r="F535" s="63"/>
      <c r="G535" s="63"/>
      <c r="H535" s="63"/>
    </row>
    <row r="536">
      <c r="A536" s="64"/>
      <c r="E536" s="33"/>
      <c r="F536" s="63"/>
      <c r="G536" s="63"/>
      <c r="H536" s="63"/>
    </row>
    <row r="537">
      <c r="A537" s="64"/>
      <c r="E537" s="33"/>
      <c r="F537" s="63"/>
      <c r="G537" s="63"/>
      <c r="H537" s="63"/>
    </row>
    <row r="538">
      <c r="A538" s="64"/>
      <c r="E538" s="33"/>
      <c r="F538" s="63"/>
      <c r="G538" s="63"/>
      <c r="H538" s="63"/>
    </row>
    <row r="539">
      <c r="A539" s="64"/>
      <c r="E539" s="33"/>
      <c r="F539" s="63"/>
      <c r="G539" s="63"/>
      <c r="H539" s="63"/>
    </row>
    <row r="540">
      <c r="A540" s="64"/>
      <c r="E540" s="33"/>
      <c r="F540" s="63"/>
      <c r="G540" s="63"/>
      <c r="H540" s="63"/>
    </row>
    <row r="541">
      <c r="A541" s="64"/>
      <c r="E541" s="33"/>
      <c r="F541" s="63"/>
      <c r="G541" s="63"/>
      <c r="H541" s="63"/>
    </row>
    <row r="542">
      <c r="A542" s="64"/>
      <c r="E542" s="33"/>
      <c r="F542" s="63"/>
      <c r="G542" s="63"/>
      <c r="H542" s="63"/>
    </row>
    <row r="543">
      <c r="A543" s="64"/>
      <c r="E543" s="33"/>
      <c r="F543" s="63"/>
      <c r="G543" s="63"/>
      <c r="H543" s="63"/>
    </row>
    <row r="544">
      <c r="A544" s="64"/>
      <c r="E544" s="33"/>
      <c r="F544" s="63"/>
      <c r="G544" s="63"/>
      <c r="H544" s="63"/>
    </row>
    <row r="545">
      <c r="A545" s="64"/>
      <c r="E545" s="33"/>
      <c r="F545" s="63"/>
      <c r="G545" s="63"/>
      <c r="H545" s="63"/>
    </row>
    <row r="546">
      <c r="A546" s="64"/>
      <c r="E546" s="33"/>
      <c r="F546" s="63"/>
      <c r="G546" s="63"/>
      <c r="H546" s="63"/>
    </row>
    <row r="547">
      <c r="A547" s="64"/>
      <c r="E547" s="33"/>
      <c r="F547" s="63"/>
      <c r="G547" s="63"/>
      <c r="H547" s="63"/>
    </row>
    <row r="548">
      <c r="A548" s="64"/>
      <c r="E548" s="33"/>
      <c r="F548" s="63"/>
      <c r="G548" s="63"/>
      <c r="H548" s="63"/>
    </row>
    <row r="549">
      <c r="A549" s="64"/>
      <c r="E549" s="33"/>
      <c r="F549" s="63"/>
      <c r="G549" s="63"/>
      <c r="H549" s="63"/>
    </row>
    <row r="550">
      <c r="A550" s="64"/>
      <c r="E550" s="33"/>
      <c r="F550" s="63"/>
      <c r="G550" s="63"/>
      <c r="H550" s="63"/>
    </row>
    <row r="551">
      <c r="A551" s="64"/>
      <c r="E551" s="33"/>
      <c r="F551" s="63"/>
      <c r="G551" s="63"/>
      <c r="H551" s="63"/>
    </row>
    <row r="552">
      <c r="A552" s="64"/>
      <c r="E552" s="33"/>
      <c r="F552" s="63"/>
      <c r="G552" s="63"/>
      <c r="H552" s="63"/>
    </row>
    <row r="553">
      <c r="A553" s="64"/>
      <c r="E553" s="33"/>
      <c r="F553" s="63"/>
      <c r="G553" s="63"/>
      <c r="H553" s="63"/>
    </row>
    <row r="554">
      <c r="A554" s="64"/>
      <c r="E554" s="33"/>
      <c r="F554" s="63"/>
      <c r="G554" s="63"/>
      <c r="H554" s="63"/>
    </row>
    <row r="555">
      <c r="A555" s="64"/>
      <c r="E555" s="33"/>
      <c r="F555" s="63"/>
      <c r="G555" s="63"/>
      <c r="H555" s="63"/>
    </row>
    <row r="556">
      <c r="A556" s="64"/>
      <c r="E556" s="33"/>
      <c r="F556" s="63"/>
      <c r="G556" s="63"/>
      <c r="H556" s="63"/>
    </row>
    <row r="557">
      <c r="A557" s="64"/>
      <c r="E557" s="33"/>
      <c r="F557" s="63"/>
      <c r="G557" s="63"/>
      <c r="H557" s="63"/>
    </row>
    <row r="558">
      <c r="A558" s="64"/>
      <c r="E558" s="33"/>
      <c r="F558" s="63"/>
      <c r="G558" s="63"/>
      <c r="H558" s="63"/>
    </row>
    <row r="559">
      <c r="A559" s="64"/>
      <c r="E559" s="33"/>
      <c r="F559" s="63"/>
      <c r="G559" s="63"/>
      <c r="H559" s="63"/>
    </row>
    <row r="560">
      <c r="A560" s="64"/>
      <c r="E560" s="33"/>
      <c r="F560" s="63"/>
      <c r="G560" s="63"/>
      <c r="H560" s="63"/>
    </row>
    <row r="561">
      <c r="A561" s="64"/>
      <c r="E561" s="33"/>
      <c r="F561" s="63"/>
      <c r="G561" s="63"/>
      <c r="H561" s="63"/>
    </row>
    <row r="562">
      <c r="A562" s="64"/>
      <c r="E562" s="33"/>
      <c r="F562" s="63"/>
      <c r="G562" s="63"/>
      <c r="H562" s="63"/>
    </row>
    <row r="563">
      <c r="A563" s="64"/>
      <c r="E563" s="33"/>
      <c r="F563" s="63"/>
      <c r="G563" s="63"/>
      <c r="H563" s="63"/>
    </row>
    <row r="564">
      <c r="A564" s="64"/>
      <c r="E564" s="33"/>
      <c r="F564" s="63"/>
      <c r="G564" s="63"/>
      <c r="H564" s="63"/>
    </row>
    <row r="565">
      <c r="A565" s="64"/>
      <c r="E565" s="33"/>
      <c r="F565" s="63"/>
      <c r="G565" s="63"/>
      <c r="H565" s="63"/>
    </row>
    <row r="566">
      <c r="A566" s="64"/>
      <c r="E566" s="33"/>
      <c r="F566" s="63"/>
      <c r="G566" s="63"/>
      <c r="H566" s="63"/>
    </row>
    <row r="567">
      <c r="A567" s="64"/>
      <c r="E567" s="33"/>
      <c r="F567" s="63"/>
      <c r="G567" s="63"/>
      <c r="H567" s="63"/>
    </row>
    <row r="568">
      <c r="A568" s="64"/>
      <c r="E568" s="33"/>
      <c r="F568" s="63"/>
      <c r="G568" s="63"/>
      <c r="H568" s="63"/>
    </row>
    <row r="569">
      <c r="A569" s="64"/>
      <c r="E569" s="33"/>
      <c r="F569" s="63"/>
      <c r="G569" s="63"/>
      <c r="H569" s="63"/>
    </row>
    <row r="570">
      <c r="A570" s="64"/>
      <c r="E570" s="33"/>
      <c r="F570" s="63"/>
      <c r="G570" s="63"/>
      <c r="H570" s="63"/>
    </row>
    <row r="571">
      <c r="A571" s="64"/>
      <c r="E571" s="33"/>
      <c r="F571" s="63"/>
      <c r="G571" s="63"/>
      <c r="H571" s="63"/>
    </row>
    <row r="572">
      <c r="A572" s="64"/>
      <c r="E572" s="33"/>
      <c r="F572" s="63"/>
      <c r="G572" s="63"/>
      <c r="H572" s="63"/>
    </row>
    <row r="573">
      <c r="A573" s="64"/>
      <c r="E573" s="33"/>
      <c r="F573" s="63"/>
      <c r="G573" s="63"/>
      <c r="H573" s="63"/>
    </row>
    <row r="574">
      <c r="A574" s="64"/>
      <c r="E574" s="33"/>
      <c r="F574" s="63"/>
      <c r="G574" s="63"/>
      <c r="H574" s="63"/>
    </row>
    <row r="575">
      <c r="A575" s="64"/>
      <c r="E575" s="33"/>
      <c r="F575" s="63"/>
      <c r="G575" s="63"/>
      <c r="H575" s="63"/>
    </row>
    <row r="576">
      <c r="A576" s="64"/>
      <c r="E576" s="33"/>
      <c r="F576" s="63"/>
      <c r="G576" s="63"/>
      <c r="H576" s="63"/>
    </row>
    <row r="577">
      <c r="A577" s="64"/>
      <c r="E577" s="33"/>
      <c r="F577" s="63"/>
      <c r="G577" s="63"/>
      <c r="H577" s="63"/>
    </row>
    <row r="578">
      <c r="A578" s="64"/>
      <c r="E578" s="33"/>
      <c r="F578" s="63"/>
      <c r="G578" s="63"/>
      <c r="H578" s="63"/>
    </row>
    <row r="579">
      <c r="A579" s="64"/>
      <c r="E579" s="33"/>
      <c r="F579" s="63"/>
      <c r="G579" s="63"/>
      <c r="H579" s="63"/>
    </row>
    <row r="580">
      <c r="A580" s="64"/>
      <c r="E580" s="33"/>
      <c r="F580" s="63"/>
      <c r="G580" s="63"/>
      <c r="H580" s="63"/>
    </row>
    <row r="581">
      <c r="A581" s="64"/>
      <c r="E581" s="33"/>
      <c r="F581" s="63"/>
      <c r="G581" s="63"/>
      <c r="H581" s="63"/>
    </row>
    <row r="582">
      <c r="A582" s="64"/>
      <c r="E582" s="33"/>
      <c r="F582" s="63"/>
      <c r="G582" s="63"/>
      <c r="H582" s="63"/>
    </row>
    <row r="583">
      <c r="A583" s="64"/>
      <c r="E583" s="33"/>
      <c r="F583" s="63"/>
      <c r="G583" s="63"/>
      <c r="H583" s="63"/>
    </row>
    <row r="584">
      <c r="A584" s="64"/>
      <c r="E584" s="33"/>
      <c r="F584" s="63"/>
      <c r="G584" s="63"/>
      <c r="H584" s="63"/>
    </row>
    <row r="585">
      <c r="A585" s="64"/>
      <c r="E585" s="33"/>
      <c r="F585" s="63"/>
      <c r="G585" s="63"/>
      <c r="H585" s="63"/>
    </row>
    <row r="586">
      <c r="A586" s="64"/>
      <c r="E586" s="33"/>
      <c r="F586" s="63"/>
      <c r="G586" s="63"/>
      <c r="H586" s="63"/>
    </row>
    <row r="587">
      <c r="A587" s="64"/>
      <c r="E587" s="33"/>
      <c r="F587" s="63"/>
      <c r="G587" s="63"/>
      <c r="H587" s="63"/>
    </row>
    <row r="588">
      <c r="A588" s="64"/>
      <c r="E588" s="33"/>
      <c r="F588" s="63"/>
      <c r="G588" s="63"/>
      <c r="H588" s="63"/>
    </row>
    <row r="589">
      <c r="A589" s="64"/>
      <c r="E589" s="33"/>
      <c r="F589" s="63"/>
      <c r="G589" s="63"/>
      <c r="H589" s="63"/>
    </row>
    <row r="590">
      <c r="A590" s="64"/>
      <c r="E590" s="33"/>
      <c r="F590" s="63"/>
      <c r="G590" s="63"/>
      <c r="H590" s="63"/>
    </row>
    <row r="591">
      <c r="A591" s="64"/>
      <c r="E591" s="33"/>
      <c r="F591" s="63"/>
      <c r="G591" s="63"/>
      <c r="H591" s="63"/>
    </row>
    <row r="592">
      <c r="A592" s="64"/>
      <c r="E592" s="33"/>
      <c r="F592" s="63"/>
      <c r="G592" s="63"/>
      <c r="H592" s="63"/>
    </row>
    <row r="593">
      <c r="A593" s="64"/>
      <c r="E593" s="33"/>
      <c r="F593" s="63"/>
      <c r="G593" s="63"/>
      <c r="H593" s="63"/>
    </row>
    <row r="594">
      <c r="A594" s="64"/>
      <c r="E594" s="33"/>
      <c r="F594" s="63"/>
      <c r="G594" s="63"/>
      <c r="H594" s="63"/>
    </row>
    <row r="595">
      <c r="A595" s="64"/>
      <c r="E595" s="33"/>
      <c r="F595" s="63"/>
      <c r="G595" s="63"/>
      <c r="H595" s="63"/>
    </row>
    <row r="596">
      <c r="A596" s="64"/>
      <c r="E596" s="33"/>
      <c r="F596" s="63"/>
      <c r="G596" s="63"/>
      <c r="H596" s="63"/>
    </row>
    <row r="597">
      <c r="A597" s="64"/>
      <c r="E597" s="33"/>
      <c r="F597" s="63"/>
      <c r="G597" s="63"/>
      <c r="H597" s="63"/>
    </row>
    <row r="598">
      <c r="A598" s="64"/>
      <c r="E598" s="33"/>
      <c r="F598" s="63"/>
      <c r="G598" s="63"/>
      <c r="H598" s="63"/>
    </row>
    <row r="599">
      <c r="A599" s="64"/>
      <c r="E599" s="33"/>
      <c r="F599" s="63"/>
      <c r="G599" s="63"/>
      <c r="H599" s="63"/>
    </row>
    <row r="600">
      <c r="A600" s="64"/>
      <c r="E600" s="33"/>
      <c r="F600" s="63"/>
      <c r="G600" s="63"/>
      <c r="H600" s="63"/>
    </row>
    <row r="601">
      <c r="A601" s="64"/>
      <c r="E601" s="33"/>
      <c r="F601" s="63"/>
      <c r="G601" s="63"/>
      <c r="H601" s="63"/>
    </row>
    <row r="602">
      <c r="A602" s="64"/>
      <c r="E602" s="33"/>
      <c r="F602" s="63"/>
      <c r="G602" s="63"/>
      <c r="H602" s="63"/>
    </row>
    <row r="603">
      <c r="A603" s="64"/>
      <c r="E603" s="33"/>
      <c r="F603" s="63"/>
      <c r="G603" s="63"/>
      <c r="H603" s="63"/>
    </row>
    <row r="604">
      <c r="A604" s="64"/>
      <c r="E604" s="33"/>
      <c r="F604" s="63"/>
      <c r="G604" s="63"/>
      <c r="H604" s="63"/>
    </row>
    <row r="605">
      <c r="A605" s="64"/>
      <c r="E605" s="33"/>
      <c r="F605" s="63"/>
      <c r="G605" s="63"/>
      <c r="H605" s="63"/>
    </row>
    <row r="606">
      <c r="A606" s="64"/>
      <c r="E606" s="33"/>
      <c r="F606" s="63"/>
      <c r="G606" s="63"/>
      <c r="H606" s="63"/>
    </row>
    <row r="607">
      <c r="A607" s="64"/>
      <c r="E607" s="33"/>
      <c r="F607" s="63"/>
      <c r="G607" s="63"/>
      <c r="H607" s="63"/>
    </row>
    <row r="608">
      <c r="A608" s="64"/>
      <c r="E608" s="33"/>
      <c r="F608" s="63"/>
      <c r="G608" s="63"/>
      <c r="H608" s="63"/>
    </row>
    <row r="609">
      <c r="A609" s="64"/>
      <c r="E609" s="33"/>
      <c r="F609" s="63"/>
      <c r="G609" s="63"/>
      <c r="H609" s="63"/>
    </row>
    <row r="610">
      <c r="A610" s="64"/>
      <c r="E610" s="33"/>
      <c r="F610" s="63"/>
      <c r="G610" s="63"/>
      <c r="H610" s="63"/>
    </row>
    <row r="611">
      <c r="A611" s="64"/>
      <c r="E611" s="33"/>
      <c r="F611" s="63"/>
      <c r="G611" s="63"/>
      <c r="H611" s="63"/>
    </row>
    <row r="612">
      <c r="A612" s="64"/>
      <c r="E612" s="33"/>
      <c r="F612" s="63"/>
      <c r="G612" s="63"/>
      <c r="H612" s="63"/>
    </row>
    <row r="613">
      <c r="A613" s="64"/>
      <c r="E613" s="33"/>
      <c r="F613" s="63"/>
      <c r="G613" s="63"/>
      <c r="H613" s="63"/>
    </row>
    <row r="614">
      <c r="A614" s="64"/>
      <c r="E614" s="33"/>
      <c r="F614" s="63"/>
      <c r="G614" s="63"/>
      <c r="H614" s="63"/>
    </row>
    <row r="615">
      <c r="A615" s="64"/>
      <c r="E615" s="33"/>
      <c r="F615" s="63"/>
      <c r="G615" s="63"/>
      <c r="H615" s="63"/>
    </row>
    <row r="616">
      <c r="A616" s="64"/>
      <c r="E616" s="33"/>
      <c r="F616" s="63"/>
      <c r="G616" s="63"/>
      <c r="H616" s="63"/>
    </row>
    <row r="617">
      <c r="A617" s="64"/>
      <c r="E617" s="33"/>
      <c r="F617" s="63"/>
      <c r="G617" s="63"/>
      <c r="H617" s="63"/>
    </row>
    <row r="618">
      <c r="A618" s="64"/>
      <c r="E618" s="33"/>
      <c r="F618" s="63"/>
      <c r="G618" s="63"/>
      <c r="H618" s="63"/>
    </row>
    <row r="619">
      <c r="A619" s="64"/>
      <c r="E619" s="33"/>
      <c r="F619" s="63"/>
      <c r="G619" s="63"/>
      <c r="H619" s="63"/>
    </row>
    <row r="620">
      <c r="A620" s="64"/>
      <c r="E620" s="33"/>
      <c r="F620" s="63"/>
      <c r="G620" s="63"/>
      <c r="H620" s="63"/>
    </row>
    <row r="621">
      <c r="A621" s="64"/>
      <c r="E621" s="33"/>
      <c r="F621" s="63"/>
      <c r="G621" s="63"/>
      <c r="H621" s="63"/>
    </row>
    <row r="622">
      <c r="A622" s="64"/>
      <c r="E622" s="33"/>
      <c r="F622" s="63"/>
      <c r="G622" s="63"/>
      <c r="H622" s="63"/>
    </row>
    <row r="623">
      <c r="A623" s="64"/>
      <c r="E623" s="33"/>
      <c r="F623" s="63"/>
      <c r="G623" s="63"/>
      <c r="H623" s="63"/>
    </row>
    <row r="624">
      <c r="A624" s="64"/>
      <c r="E624" s="33"/>
      <c r="F624" s="63"/>
      <c r="G624" s="63"/>
      <c r="H624" s="63"/>
    </row>
    <row r="625">
      <c r="A625" s="64"/>
      <c r="E625" s="33"/>
      <c r="F625" s="63"/>
      <c r="G625" s="63"/>
      <c r="H625" s="63"/>
    </row>
    <row r="626">
      <c r="A626" s="64"/>
      <c r="E626" s="33"/>
      <c r="F626" s="63"/>
      <c r="G626" s="63"/>
      <c r="H626" s="63"/>
    </row>
    <row r="627">
      <c r="A627" s="64"/>
      <c r="E627" s="33"/>
      <c r="F627" s="63"/>
      <c r="G627" s="63"/>
      <c r="H627" s="63"/>
    </row>
    <row r="628">
      <c r="A628" s="64"/>
      <c r="E628" s="33"/>
      <c r="F628" s="63"/>
      <c r="G628" s="63"/>
      <c r="H628" s="63"/>
    </row>
    <row r="629">
      <c r="A629" s="64"/>
      <c r="E629" s="33"/>
      <c r="F629" s="63"/>
      <c r="G629" s="63"/>
      <c r="H629" s="63"/>
    </row>
    <row r="630">
      <c r="A630" s="64"/>
      <c r="E630" s="33"/>
      <c r="F630" s="63"/>
      <c r="G630" s="63"/>
      <c r="H630" s="63"/>
    </row>
    <row r="631">
      <c r="A631" s="64"/>
      <c r="E631" s="33"/>
      <c r="F631" s="63"/>
      <c r="G631" s="63"/>
      <c r="H631" s="63"/>
    </row>
    <row r="632">
      <c r="A632" s="64"/>
      <c r="E632" s="33"/>
      <c r="F632" s="63"/>
      <c r="G632" s="63"/>
      <c r="H632" s="63"/>
    </row>
    <row r="633">
      <c r="A633" s="64"/>
      <c r="E633" s="33"/>
      <c r="F633" s="63"/>
      <c r="G633" s="63"/>
      <c r="H633" s="63"/>
    </row>
    <row r="634">
      <c r="A634" s="64"/>
      <c r="E634" s="33"/>
      <c r="F634" s="63"/>
      <c r="G634" s="63"/>
      <c r="H634" s="63"/>
    </row>
    <row r="635">
      <c r="A635" s="64"/>
      <c r="E635" s="33"/>
      <c r="F635" s="63"/>
      <c r="G635" s="63"/>
      <c r="H635" s="63"/>
    </row>
    <row r="636">
      <c r="A636" s="64"/>
      <c r="E636" s="33"/>
      <c r="F636" s="63"/>
      <c r="G636" s="63"/>
      <c r="H636" s="63"/>
    </row>
    <row r="637">
      <c r="A637" s="64"/>
      <c r="E637" s="33"/>
      <c r="F637" s="63"/>
      <c r="G637" s="63"/>
      <c r="H637" s="63"/>
    </row>
    <row r="638">
      <c r="A638" s="64"/>
      <c r="E638" s="33"/>
      <c r="F638" s="63"/>
      <c r="G638" s="63"/>
      <c r="H638" s="63"/>
    </row>
    <row r="639">
      <c r="A639" s="64"/>
      <c r="E639" s="33"/>
      <c r="F639" s="63"/>
      <c r="G639" s="63"/>
      <c r="H639" s="63"/>
    </row>
    <row r="640">
      <c r="A640" s="64"/>
      <c r="E640" s="33"/>
      <c r="F640" s="63"/>
      <c r="G640" s="63"/>
      <c r="H640" s="63"/>
    </row>
    <row r="641">
      <c r="A641" s="64"/>
      <c r="E641" s="33"/>
      <c r="F641" s="63"/>
      <c r="G641" s="63"/>
      <c r="H641" s="63"/>
    </row>
    <row r="642">
      <c r="A642" s="64"/>
      <c r="E642" s="33"/>
      <c r="F642" s="63"/>
      <c r="G642" s="63"/>
      <c r="H642" s="63"/>
    </row>
    <row r="643">
      <c r="A643" s="64"/>
      <c r="E643" s="33"/>
      <c r="F643" s="63"/>
      <c r="G643" s="63"/>
      <c r="H643" s="63"/>
    </row>
    <row r="644">
      <c r="A644" s="64"/>
      <c r="E644" s="33"/>
      <c r="F644" s="63"/>
      <c r="G644" s="63"/>
      <c r="H644" s="63"/>
    </row>
    <row r="645">
      <c r="A645" s="64"/>
      <c r="E645" s="33"/>
      <c r="F645" s="63"/>
      <c r="G645" s="63"/>
      <c r="H645" s="63"/>
    </row>
    <row r="646">
      <c r="A646" s="64"/>
      <c r="E646" s="33"/>
      <c r="F646" s="63"/>
      <c r="G646" s="63"/>
      <c r="H646" s="63"/>
    </row>
    <row r="647">
      <c r="A647" s="64"/>
      <c r="E647" s="33"/>
      <c r="F647" s="63"/>
      <c r="G647" s="63"/>
      <c r="H647" s="63"/>
    </row>
    <row r="648">
      <c r="A648" s="64"/>
      <c r="E648" s="33"/>
      <c r="F648" s="63"/>
      <c r="G648" s="63"/>
      <c r="H648" s="63"/>
    </row>
    <row r="649">
      <c r="A649" s="64"/>
      <c r="E649" s="33"/>
      <c r="F649" s="63"/>
      <c r="G649" s="63"/>
      <c r="H649" s="63"/>
    </row>
    <row r="650">
      <c r="A650" s="64"/>
      <c r="E650" s="33"/>
      <c r="F650" s="63"/>
      <c r="G650" s="63"/>
      <c r="H650" s="63"/>
    </row>
    <row r="651">
      <c r="A651" s="64"/>
      <c r="E651" s="33"/>
      <c r="F651" s="63"/>
      <c r="G651" s="63"/>
      <c r="H651" s="63"/>
    </row>
    <row r="652">
      <c r="A652" s="64"/>
      <c r="E652" s="33"/>
      <c r="F652" s="63"/>
      <c r="G652" s="63"/>
      <c r="H652" s="63"/>
    </row>
    <row r="653">
      <c r="A653" s="64"/>
      <c r="E653" s="33"/>
      <c r="F653" s="63"/>
      <c r="G653" s="63"/>
      <c r="H653" s="63"/>
    </row>
    <row r="654">
      <c r="A654" s="64"/>
      <c r="E654" s="33"/>
      <c r="F654" s="63"/>
      <c r="G654" s="63"/>
      <c r="H654" s="63"/>
    </row>
    <row r="655">
      <c r="A655" s="64"/>
      <c r="E655" s="33"/>
      <c r="F655" s="63"/>
      <c r="G655" s="63"/>
      <c r="H655" s="63"/>
    </row>
    <row r="656">
      <c r="A656" s="64"/>
      <c r="E656" s="33"/>
      <c r="F656" s="63"/>
      <c r="G656" s="63"/>
      <c r="H656" s="63"/>
    </row>
    <row r="657">
      <c r="A657" s="64"/>
      <c r="E657" s="33"/>
      <c r="F657" s="63"/>
      <c r="G657" s="63"/>
      <c r="H657" s="63"/>
    </row>
    <row r="658">
      <c r="A658" s="64"/>
      <c r="E658" s="33"/>
      <c r="F658" s="63"/>
      <c r="G658" s="63"/>
      <c r="H658" s="63"/>
    </row>
    <row r="659">
      <c r="A659" s="64"/>
      <c r="E659" s="33"/>
      <c r="F659" s="63"/>
      <c r="G659" s="63"/>
      <c r="H659" s="63"/>
    </row>
    <row r="660">
      <c r="A660" s="64"/>
      <c r="E660" s="33"/>
      <c r="F660" s="63"/>
      <c r="G660" s="63"/>
      <c r="H660" s="63"/>
    </row>
    <row r="661">
      <c r="A661" s="64"/>
      <c r="E661" s="33"/>
      <c r="F661" s="63"/>
      <c r="G661" s="63"/>
      <c r="H661" s="63"/>
    </row>
    <row r="662">
      <c r="A662" s="64"/>
      <c r="E662" s="33"/>
      <c r="F662" s="63"/>
      <c r="G662" s="63"/>
      <c r="H662" s="63"/>
    </row>
    <row r="663">
      <c r="A663" s="64"/>
      <c r="E663" s="33"/>
      <c r="F663" s="63"/>
      <c r="G663" s="63"/>
      <c r="H663" s="63"/>
    </row>
    <row r="664">
      <c r="A664" s="64"/>
      <c r="E664" s="33"/>
      <c r="F664" s="63"/>
      <c r="G664" s="63"/>
      <c r="H664" s="63"/>
    </row>
    <row r="665">
      <c r="A665" s="64"/>
      <c r="E665" s="33"/>
      <c r="F665" s="63"/>
      <c r="G665" s="63"/>
      <c r="H665" s="63"/>
    </row>
    <row r="666">
      <c r="A666" s="64"/>
      <c r="E666" s="33"/>
      <c r="F666" s="63"/>
      <c r="G666" s="63"/>
      <c r="H666" s="63"/>
    </row>
    <row r="667">
      <c r="A667" s="64"/>
      <c r="E667" s="33"/>
      <c r="F667" s="63"/>
      <c r="G667" s="63"/>
      <c r="H667" s="63"/>
    </row>
    <row r="668">
      <c r="A668" s="64"/>
      <c r="E668" s="33"/>
      <c r="F668" s="63"/>
      <c r="G668" s="63"/>
      <c r="H668" s="63"/>
    </row>
    <row r="669">
      <c r="A669" s="64"/>
      <c r="E669" s="33"/>
      <c r="F669" s="63"/>
      <c r="G669" s="63"/>
      <c r="H669" s="63"/>
    </row>
    <row r="670">
      <c r="A670" s="64"/>
      <c r="E670" s="33"/>
      <c r="F670" s="63"/>
      <c r="G670" s="63"/>
      <c r="H670" s="63"/>
    </row>
    <row r="671">
      <c r="A671" s="64"/>
      <c r="E671" s="33"/>
      <c r="F671" s="63"/>
      <c r="G671" s="63"/>
      <c r="H671" s="63"/>
    </row>
    <row r="672">
      <c r="A672" s="64"/>
      <c r="E672" s="33"/>
      <c r="F672" s="63"/>
      <c r="G672" s="63"/>
      <c r="H672" s="63"/>
    </row>
    <row r="673">
      <c r="A673" s="64"/>
      <c r="E673" s="33"/>
      <c r="F673" s="63"/>
      <c r="G673" s="63"/>
      <c r="H673" s="63"/>
    </row>
    <row r="674">
      <c r="A674" s="64"/>
      <c r="E674" s="33"/>
      <c r="F674" s="63"/>
      <c r="G674" s="63"/>
      <c r="H674" s="63"/>
    </row>
    <row r="675">
      <c r="A675" s="64"/>
      <c r="E675" s="33"/>
      <c r="F675" s="63"/>
      <c r="G675" s="63"/>
      <c r="H675" s="63"/>
    </row>
    <row r="676">
      <c r="A676" s="64"/>
      <c r="E676" s="33"/>
      <c r="F676" s="63"/>
      <c r="G676" s="63"/>
      <c r="H676" s="63"/>
    </row>
    <row r="677">
      <c r="A677" s="64"/>
      <c r="E677" s="33"/>
      <c r="F677" s="63"/>
      <c r="G677" s="63"/>
      <c r="H677" s="63"/>
    </row>
    <row r="678">
      <c r="A678" s="64"/>
      <c r="E678" s="33"/>
      <c r="F678" s="63"/>
      <c r="G678" s="63"/>
      <c r="H678" s="63"/>
    </row>
    <row r="679">
      <c r="A679" s="64"/>
      <c r="E679" s="33"/>
      <c r="F679" s="63"/>
      <c r="G679" s="63"/>
      <c r="H679" s="63"/>
    </row>
    <row r="680">
      <c r="A680" s="64"/>
      <c r="E680" s="33"/>
      <c r="F680" s="63"/>
      <c r="G680" s="63"/>
      <c r="H680" s="63"/>
    </row>
    <row r="681">
      <c r="A681" s="64"/>
      <c r="E681" s="33"/>
      <c r="F681" s="63"/>
      <c r="G681" s="63"/>
      <c r="H681" s="63"/>
    </row>
    <row r="682">
      <c r="A682" s="64"/>
      <c r="E682" s="33"/>
      <c r="F682" s="63"/>
      <c r="G682" s="63"/>
      <c r="H682" s="63"/>
    </row>
    <row r="683">
      <c r="A683" s="64"/>
      <c r="E683" s="33"/>
      <c r="F683" s="63"/>
      <c r="G683" s="63"/>
      <c r="H683" s="63"/>
    </row>
    <row r="684">
      <c r="A684" s="64"/>
      <c r="E684" s="33"/>
      <c r="F684" s="63"/>
      <c r="G684" s="63"/>
      <c r="H684" s="63"/>
    </row>
    <row r="685">
      <c r="A685" s="64"/>
      <c r="E685" s="33"/>
      <c r="F685" s="63"/>
      <c r="G685" s="63"/>
      <c r="H685" s="63"/>
    </row>
    <row r="686">
      <c r="A686" s="64"/>
      <c r="E686" s="33"/>
      <c r="F686" s="63"/>
      <c r="G686" s="63"/>
      <c r="H686" s="63"/>
    </row>
    <row r="687">
      <c r="A687" s="64"/>
      <c r="E687" s="33"/>
      <c r="F687" s="63"/>
      <c r="G687" s="63"/>
      <c r="H687" s="63"/>
    </row>
    <row r="688">
      <c r="A688" s="64"/>
      <c r="E688" s="33"/>
      <c r="F688" s="63"/>
      <c r="G688" s="63"/>
      <c r="H688" s="63"/>
    </row>
    <row r="689">
      <c r="A689" s="64"/>
      <c r="E689" s="33"/>
      <c r="F689" s="63"/>
      <c r="G689" s="63"/>
      <c r="H689" s="63"/>
    </row>
    <row r="690">
      <c r="A690" s="64"/>
      <c r="E690" s="33"/>
      <c r="F690" s="63"/>
      <c r="G690" s="63"/>
      <c r="H690" s="63"/>
    </row>
    <row r="691">
      <c r="A691" s="64"/>
      <c r="E691" s="33"/>
      <c r="F691" s="63"/>
      <c r="G691" s="63"/>
      <c r="H691" s="63"/>
    </row>
    <row r="692">
      <c r="A692" s="64"/>
      <c r="E692" s="33"/>
      <c r="F692" s="63"/>
      <c r="G692" s="63"/>
      <c r="H692" s="63"/>
    </row>
    <row r="693">
      <c r="A693" s="64"/>
      <c r="E693" s="33"/>
      <c r="F693" s="63"/>
      <c r="G693" s="63"/>
      <c r="H693" s="63"/>
    </row>
    <row r="694">
      <c r="A694" s="64"/>
      <c r="E694" s="33"/>
      <c r="F694" s="63"/>
      <c r="G694" s="63"/>
      <c r="H694" s="63"/>
    </row>
    <row r="695">
      <c r="A695" s="64"/>
      <c r="E695" s="33"/>
      <c r="F695" s="63"/>
      <c r="G695" s="63"/>
      <c r="H695" s="63"/>
    </row>
    <row r="696">
      <c r="A696" s="64"/>
      <c r="E696" s="33"/>
      <c r="F696" s="63"/>
      <c r="G696" s="63"/>
      <c r="H696" s="63"/>
    </row>
    <row r="697">
      <c r="A697" s="64"/>
      <c r="E697" s="33"/>
      <c r="F697" s="63"/>
      <c r="G697" s="63"/>
      <c r="H697" s="63"/>
    </row>
    <row r="698">
      <c r="A698" s="64"/>
      <c r="E698" s="33"/>
      <c r="F698" s="63"/>
      <c r="G698" s="63"/>
      <c r="H698" s="63"/>
    </row>
    <row r="699">
      <c r="A699" s="64"/>
      <c r="E699" s="33"/>
      <c r="F699" s="63"/>
      <c r="G699" s="63"/>
      <c r="H699" s="63"/>
    </row>
    <row r="700">
      <c r="A700" s="64"/>
      <c r="E700" s="33"/>
      <c r="F700" s="63"/>
      <c r="G700" s="63"/>
      <c r="H700" s="63"/>
    </row>
    <row r="701">
      <c r="A701" s="64"/>
      <c r="E701" s="33"/>
      <c r="F701" s="63"/>
      <c r="G701" s="63"/>
      <c r="H701" s="63"/>
    </row>
    <row r="702">
      <c r="A702" s="64"/>
      <c r="E702" s="33"/>
      <c r="F702" s="63"/>
      <c r="G702" s="63"/>
      <c r="H702" s="63"/>
    </row>
    <row r="703">
      <c r="A703" s="64"/>
      <c r="E703" s="33"/>
      <c r="F703" s="63"/>
      <c r="G703" s="63"/>
      <c r="H703" s="63"/>
    </row>
    <row r="704">
      <c r="A704" s="64"/>
      <c r="E704" s="33"/>
      <c r="F704" s="63"/>
      <c r="G704" s="63"/>
      <c r="H704" s="63"/>
    </row>
    <row r="705">
      <c r="A705" s="64"/>
      <c r="E705" s="33"/>
      <c r="F705" s="63"/>
      <c r="G705" s="63"/>
      <c r="H705" s="63"/>
    </row>
    <row r="706">
      <c r="A706" s="64"/>
      <c r="E706" s="33"/>
      <c r="F706" s="63"/>
      <c r="G706" s="63"/>
      <c r="H706" s="63"/>
    </row>
    <row r="707">
      <c r="A707" s="64"/>
      <c r="E707" s="33"/>
      <c r="F707" s="63"/>
      <c r="G707" s="63"/>
      <c r="H707" s="63"/>
    </row>
    <row r="708">
      <c r="A708" s="64"/>
      <c r="E708" s="33"/>
      <c r="F708" s="63"/>
      <c r="G708" s="63"/>
      <c r="H708" s="63"/>
    </row>
    <row r="709">
      <c r="A709" s="64"/>
      <c r="E709" s="33"/>
      <c r="F709" s="63"/>
      <c r="G709" s="63"/>
      <c r="H709" s="63"/>
    </row>
    <row r="710">
      <c r="A710" s="64"/>
      <c r="E710" s="33"/>
      <c r="F710" s="63"/>
      <c r="G710" s="63"/>
      <c r="H710" s="63"/>
    </row>
    <row r="711">
      <c r="A711" s="64"/>
      <c r="E711" s="33"/>
      <c r="F711" s="63"/>
      <c r="G711" s="63"/>
      <c r="H711" s="63"/>
    </row>
    <row r="712">
      <c r="A712" s="64"/>
      <c r="E712" s="33"/>
      <c r="F712" s="63"/>
      <c r="G712" s="63"/>
      <c r="H712" s="63"/>
    </row>
    <row r="713">
      <c r="A713" s="64"/>
      <c r="E713" s="33"/>
      <c r="F713" s="63"/>
      <c r="G713" s="63"/>
      <c r="H713" s="63"/>
    </row>
    <row r="714">
      <c r="A714" s="64"/>
      <c r="E714" s="33"/>
      <c r="F714" s="63"/>
      <c r="G714" s="63"/>
      <c r="H714" s="63"/>
    </row>
    <row r="715">
      <c r="A715" s="64"/>
      <c r="E715" s="33"/>
      <c r="F715" s="63"/>
      <c r="G715" s="63"/>
      <c r="H715" s="63"/>
    </row>
    <row r="716">
      <c r="A716" s="64"/>
      <c r="E716" s="33"/>
      <c r="F716" s="63"/>
      <c r="G716" s="63"/>
      <c r="H716" s="63"/>
    </row>
    <row r="717">
      <c r="A717" s="64"/>
      <c r="E717" s="33"/>
      <c r="F717" s="63"/>
      <c r="G717" s="63"/>
      <c r="H717" s="63"/>
    </row>
    <row r="718">
      <c r="A718" s="64"/>
      <c r="E718" s="33"/>
      <c r="F718" s="63"/>
      <c r="G718" s="63"/>
      <c r="H718" s="63"/>
    </row>
    <row r="719">
      <c r="A719" s="64"/>
      <c r="E719" s="33"/>
      <c r="F719" s="63"/>
      <c r="G719" s="63"/>
      <c r="H719" s="63"/>
    </row>
    <row r="720">
      <c r="A720" s="64"/>
      <c r="E720" s="33"/>
      <c r="F720" s="63"/>
      <c r="G720" s="63"/>
      <c r="H720" s="63"/>
    </row>
    <row r="721">
      <c r="A721" s="64"/>
      <c r="E721" s="33"/>
      <c r="F721" s="63"/>
      <c r="G721" s="63"/>
      <c r="H721" s="63"/>
    </row>
    <row r="722">
      <c r="A722" s="64"/>
      <c r="E722" s="33"/>
      <c r="F722" s="63"/>
      <c r="G722" s="63"/>
      <c r="H722" s="63"/>
    </row>
    <row r="723">
      <c r="A723" s="64"/>
      <c r="E723" s="33"/>
      <c r="F723" s="63"/>
      <c r="G723" s="63"/>
      <c r="H723" s="63"/>
    </row>
    <row r="724">
      <c r="A724" s="64"/>
      <c r="E724" s="33"/>
      <c r="F724" s="63"/>
      <c r="G724" s="63"/>
      <c r="H724" s="63"/>
    </row>
    <row r="725">
      <c r="A725" s="64"/>
      <c r="E725" s="33"/>
      <c r="F725" s="63"/>
      <c r="G725" s="63"/>
      <c r="H725" s="63"/>
    </row>
    <row r="726">
      <c r="A726" s="64"/>
      <c r="E726" s="33"/>
      <c r="F726" s="63"/>
      <c r="G726" s="63"/>
      <c r="H726" s="63"/>
    </row>
    <row r="727">
      <c r="A727" s="64"/>
      <c r="E727" s="33"/>
      <c r="F727" s="63"/>
      <c r="G727" s="63"/>
      <c r="H727" s="63"/>
    </row>
    <row r="728">
      <c r="A728" s="64"/>
      <c r="E728" s="33"/>
      <c r="F728" s="63"/>
      <c r="G728" s="63"/>
      <c r="H728" s="63"/>
    </row>
    <row r="729">
      <c r="A729" s="64"/>
      <c r="E729" s="33"/>
      <c r="F729" s="63"/>
      <c r="G729" s="63"/>
      <c r="H729" s="63"/>
    </row>
    <row r="730">
      <c r="A730" s="64"/>
      <c r="E730" s="33"/>
      <c r="F730" s="63"/>
      <c r="G730" s="63"/>
      <c r="H730" s="63"/>
    </row>
    <row r="731">
      <c r="A731" s="64"/>
      <c r="E731" s="33"/>
      <c r="F731" s="63"/>
      <c r="G731" s="63"/>
      <c r="H731" s="63"/>
    </row>
    <row r="732">
      <c r="A732" s="64"/>
      <c r="E732" s="33"/>
      <c r="F732" s="63"/>
      <c r="G732" s="63"/>
      <c r="H732" s="63"/>
    </row>
    <row r="733">
      <c r="A733" s="64"/>
      <c r="E733" s="33"/>
      <c r="F733" s="63"/>
      <c r="G733" s="63"/>
      <c r="H733" s="63"/>
    </row>
    <row r="734">
      <c r="A734" s="64"/>
      <c r="E734" s="33"/>
      <c r="F734" s="63"/>
      <c r="G734" s="63"/>
      <c r="H734" s="63"/>
    </row>
    <row r="735">
      <c r="A735" s="64"/>
      <c r="E735" s="33"/>
      <c r="F735" s="63"/>
      <c r="G735" s="63"/>
      <c r="H735" s="63"/>
    </row>
    <row r="736">
      <c r="A736" s="64"/>
      <c r="E736" s="33"/>
      <c r="F736" s="63"/>
      <c r="G736" s="63"/>
      <c r="H736" s="63"/>
    </row>
    <row r="737">
      <c r="A737" s="64"/>
      <c r="E737" s="33"/>
      <c r="F737" s="63"/>
      <c r="G737" s="63"/>
      <c r="H737" s="63"/>
    </row>
    <row r="738">
      <c r="A738" s="64"/>
      <c r="E738" s="33"/>
      <c r="F738" s="63"/>
      <c r="G738" s="63"/>
      <c r="H738" s="63"/>
    </row>
    <row r="739">
      <c r="A739" s="64"/>
      <c r="E739" s="33"/>
      <c r="F739" s="63"/>
      <c r="G739" s="63"/>
      <c r="H739" s="63"/>
    </row>
    <row r="740">
      <c r="A740" s="64"/>
      <c r="E740" s="33"/>
      <c r="F740" s="63"/>
      <c r="G740" s="63"/>
      <c r="H740" s="63"/>
    </row>
    <row r="741">
      <c r="A741" s="64"/>
      <c r="E741" s="33"/>
      <c r="F741" s="63"/>
      <c r="G741" s="63"/>
      <c r="H741" s="63"/>
    </row>
    <row r="742">
      <c r="A742" s="64"/>
      <c r="E742" s="33"/>
      <c r="F742" s="63"/>
      <c r="G742" s="63"/>
      <c r="H742" s="63"/>
    </row>
    <row r="743">
      <c r="A743" s="64"/>
      <c r="E743" s="33"/>
      <c r="F743" s="63"/>
      <c r="G743" s="63"/>
      <c r="H743" s="63"/>
    </row>
    <row r="744">
      <c r="A744" s="64"/>
      <c r="E744" s="33"/>
      <c r="F744" s="63"/>
      <c r="G744" s="63"/>
      <c r="H744" s="63"/>
    </row>
    <row r="745">
      <c r="A745" s="64"/>
      <c r="E745" s="33"/>
      <c r="F745" s="63"/>
      <c r="G745" s="63"/>
      <c r="H745" s="63"/>
    </row>
    <row r="746">
      <c r="A746" s="64"/>
      <c r="E746" s="33"/>
      <c r="F746" s="63"/>
      <c r="G746" s="63"/>
      <c r="H746" s="63"/>
    </row>
    <row r="747">
      <c r="A747" s="64"/>
      <c r="E747" s="33"/>
      <c r="F747" s="63"/>
      <c r="G747" s="63"/>
      <c r="H747" s="63"/>
    </row>
    <row r="748">
      <c r="A748" s="64"/>
      <c r="E748" s="33"/>
      <c r="F748" s="63"/>
      <c r="G748" s="63"/>
      <c r="H748" s="63"/>
    </row>
    <row r="749">
      <c r="A749" s="64"/>
      <c r="E749" s="33"/>
      <c r="F749" s="63"/>
      <c r="G749" s="63"/>
      <c r="H749" s="63"/>
    </row>
    <row r="750">
      <c r="A750" s="64"/>
      <c r="E750" s="33"/>
      <c r="F750" s="63"/>
      <c r="G750" s="63"/>
      <c r="H750" s="63"/>
    </row>
    <row r="751">
      <c r="A751" s="64"/>
      <c r="E751" s="33"/>
      <c r="F751" s="63"/>
      <c r="G751" s="63"/>
      <c r="H751" s="63"/>
    </row>
    <row r="752">
      <c r="A752" s="64"/>
      <c r="E752" s="33"/>
      <c r="F752" s="63"/>
      <c r="G752" s="63"/>
      <c r="H752" s="63"/>
    </row>
    <row r="753">
      <c r="A753" s="64"/>
      <c r="E753" s="33"/>
      <c r="F753" s="63"/>
      <c r="G753" s="63"/>
      <c r="H753" s="63"/>
    </row>
    <row r="754">
      <c r="A754" s="64"/>
      <c r="E754" s="33"/>
      <c r="F754" s="63"/>
      <c r="G754" s="63"/>
      <c r="H754" s="63"/>
    </row>
    <row r="755">
      <c r="A755" s="64"/>
      <c r="E755" s="33"/>
      <c r="F755" s="63"/>
      <c r="G755" s="63"/>
      <c r="H755" s="63"/>
    </row>
    <row r="756">
      <c r="A756" s="64"/>
      <c r="E756" s="33"/>
      <c r="F756" s="63"/>
      <c r="G756" s="63"/>
      <c r="H756" s="63"/>
    </row>
    <row r="757">
      <c r="A757" s="64"/>
      <c r="E757" s="33"/>
      <c r="F757" s="63"/>
      <c r="G757" s="63"/>
      <c r="H757" s="63"/>
    </row>
    <row r="758">
      <c r="A758" s="64"/>
      <c r="E758" s="33"/>
      <c r="F758" s="63"/>
      <c r="G758" s="63"/>
      <c r="H758" s="63"/>
    </row>
    <row r="759">
      <c r="A759" s="64"/>
      <c r="E759" s="33"/>
      <c r="F759" s="63"/>
      <c r="G759" s="63"/>
      <c r="H759" s="63"/>
    </row>
    <row r="760">
      <c r="A760" s="64"/>
      <c r="E760" s="33"/>
      <c r="F760" s="63"/>
      <c r="G760" s="63"/>
      <c r="H760" s="63"/>
    </row>
    <row r="761">
      <c r="A761" s="64"/>
      <c r="E761" s="33"/>
      <c r="F761" s="63"/>
      <c r="G761" s="63"/>
      <c r="H761" s="63"/>
    </row>
    <row r="762">
      <c r="A762" s="64"/>
      <c r="E762" s="33"/>
      <c r="F762" s="63"/>
      <c r="G762" s="63"/>
      <c r="H762" s="63"/>
    </row>
    <row r="763">
      <c r="A763" s="64"/>
      <c r="E763" s="33"/>
      <c r="F763" s="63"/>
      <c r="G763" s="63"/>
      <c r="H763" s="63"/>
    </row>
    <row r="764">
      <c r="A764" s="64"/>
      <c r="E764" s="33"/>
      <c r="F764" s="63"/>
      <c r="G764" s="63"/>
      <c r="H764" s="63"/>
    </row>
    <row r="765">
      <c r="A765" s="64"/>
      <c r="E765" s="33"/>
      <c r="F765" s="63"/>
      <c r="G765" s="63"/>
      <c r="H765" s="63"/>
    </row>
    <row r="766">
      <c r="A766" s="64"/>
      <c r="E766" s="33"/>
      <c r="F766" s="63"/>
      <c r="G766" s="63"/>
      <c r="H766" s="63"/>
    </row>
    <row r="767">
      <c r="A767" s="64"/>
      <c r="E767" s="33"/>
      <c r="F767" s="63"/>
      <c r="G767" s="63"/>
      <c r="H767" s="63"/>
    </row>
    <row r="768">
      <c r="A768" s="64"/>
      <c r="E768" s="33"/>
      <c r="F768" s="63"/>
      <c r="G768" s="63"/>
      <c r="H768" s="63"/>
    </row>
    <row r="769">
      <c r="A769" s="64"/>
      <c r="E769" s="33"/>
      <c r="F769" s="63"/>
      <c r="G769" s="63"/>
      <c r="H769" s="63"/>
    </row>
    <row r="770">
      <c r="A770" s="64"/>
      <c r="E770" s="33"/>
      <c r="F770" s="63"/>
      <c r="G770" s="63"/>
      <c r="H770" s="63"/>
    </row>
    <row r="771">
      <c r="A771" s="64"/>
      <c r="E771" s="33"/>
      <c r="F771" s="63"/>
      <c r="G771" s="63"/>
      <c r="H771" s="63"/>
    </row>
    <row r="772">
      <c r="A772" s="64"/>
      <c r="E772" s="33"/>
      <c r="F772" s="63"/>
      <c r="G772" s="63"/>
      <c r="H772" s="63"/>
    </row>
    <row r="773">
      <c r="A773" s="64"/>
      <c r="E773" s="33"/>
      <c r="F773" s="63"/>
      <c r="G773" s="63"/>
      <c r="H773" s="63"/>
    </row>
    <row r="774">
      <c r="A774" s="64"/>
      <c r="E774" s="33"/>
      <c r="F774" s="63"/>
      <c r="G774" s="63"/>
      <c r="H774" s="63"/>
    </row>
    <row r="775">
      <c r="A775" s="64"/>
      <c r="E775" s="33"/>
      <c r="F775" s="63"/>
      <c r="G775" s="63"/>
      <c r="H775" s="63"/>
    </row>
    <row r="776">
      <c r="A776" s="64"/>
      <c r="E776" s="33"/>
      <c r="F776" s="63"/>
      <c r="G776" s="63"/>
      <c r="H776" s="63"/>
    </row>
    <row r="777">
      <c r="A777" s="64"/>
      <c r="E777" s="33"/>
      <c r="F777" s="63"/>
      <c r="G777" s="63"/>
      <c r="H777" s="63"/>
    </row>
    <row r="778">
      <c r="A778" s="64"/>
      <c r="E778" s="33"/>
      <c r="F778" s="63"/>
      <c r="G778" s="63"/>
      <c r="H778" s="63"/>
    </row>
    <row r="779">
      <c r="A779" s="64"/>
      <c r="E779" s="33"/>
      <c r="F779" s="63"/>
      <c r="G779" s="63"/>
      <c r="H779" s="63"/>
    </row>
    <row r="780">
      <c r="A780" s="64"/>
      <c r="E780" s="33"/>
      <c r="F780" s="63"/>
      <c r="G780" s="63"/>
      <c r="H780" s="63"/>
    </row>
    <row r="781">
      <c r="A781" s="64"/>
      <c r="E781" s="33"/>
      <c r="F781" s="63"/>
      <c r="G781" s="63"/>
      <c r="H781" s="63"/>
    </row>
    <row r="782">
      <c r="A782" s="64"/>
      <c r="E782" s="33"/>
      <c r="F782" s="63"/>
      <c r="G782" s="63"/>
      <c r="H782" s="63"/>
    </row>
    <row r="783">
      <c r="A783" s="64"/>
      <c r="E783" s="33"/>
      <c r="F783" s="63"/>
      <c r="G783" s="63"/>
      <c r="H783" s="63"/>
    </row>
    <row r="784">
      <c r="A784" s="64"/>
      <c r="E784" s="33"/>
      <c r="F784" s="63"/>
      <c r="G784" s="63"/>
      <c r="H784" s="63"/>
    </row>
    <row r="785">
      <c r="A785" s="64"/>
      <c r="E785" s="33"/>
      <c r="F785" s="63"/>
      <c r="G785" s="63"/>
      <c r="H785" s="63"/>
    </row>
    <row r="786">
      <c r="A786" s="64"/>
      <c r="E786" s="33"/>
      <c r="F786" s="63"/>
      <c r="G786" s="63"/>
      <c r="H786" s="63"/>
    </row>
    <row r="787">
      <c r="A787" s="64"/>
      <c r="E787" s="33"/>
      <c r="F787" s="63"/>
      <c r="G787" s="63"/>
      <c r="H787" s="63"/>
    </row>
    <row r="788">
      <c r="A788" s="64"/>
      <c r="E788" s="33"/>
      <c r="F788" s="63"/>
      <c r="G788" s="63"/>
      <c r="H788" s="63"/>
    </row>
    <row r="789">
      <c r="A789" s="64"/>
      <c r="E789" s="33"/>
      <c r="F789" s="63"/>
      <c r="G789" s="63"/>
      <c r="H789" s="63"/>
    </row>
    <row r="790">
      <c r="A790" s="64"/>
      <c r="E790" s="33"/>
      <c r="F790" s="63"/>
      <c r="G790" s="63"/>
      <c r="H790" s="63"/>
    </row>
    <row r="791">
      <c r="A791" s="64"/>
      <c r="E791" s="33"/>
      <c r="F791" s="63"/>
      <c r="G791" s="63"/>
      <c r="H791" s="63"/>
    </row>
    <row r="792">
      <c r="A792" s="64"/>
      <c r="E792" s="33"/>
      <c r="F792" s="63"/>
      <c r="G792" s="63"/>
      <c r="H792" s="63"/>
    </row>
    <row r="793">
      <c r="A793" s="64"/>
      <c r="E793" s="33"/>
      <c r="F793" s="63"/>
      <c r="G793" s="63"/>
      <c r="H793" s="63"/>
    </row>
    <row r="794">
      <c r="A794" s="64"/>
      <c r="E794" s="33"/>
      <c r="F794" s="63"/>
      <c r="G794" s="63"/>
      <c r="H794" s="63"/>
    </row>
    <row r="795">
      <c r="A795" s="64"/>
      <c r="E795" s="33"/>
      <c r="F795" s="63"/>
      <c r="G795" s="63"/>
      <c r="H795" s="63"/>
    </row>
    <row r="796">
      <c r="A796" s="64"/>
      <c r="E796" s="33"/>
      <c r="F796" s="63"/>
      <c r="G796" s="63"/>
      <c r="H796" s="63"/>
    </row>
    <row r="797">
      <c r="A797" s="64"/>
      <c r="E797" s="33"/>
      <c r="F797" s="63"/>
      <c r="G797" s="63"/>
      <c r="H797" s="63"/>
    </row>
    <row r="798">
      <c r="A798" s="64"/>
      <c r="E798" s="33"/>
      <c r="F798" s="63"/>
      <c r="G798" s="63"/>
      <c r="H798" s="63"/>
    </row>
    <row r="799">
      <c r="A799" s="64"/>
      <c r="E799" s="33"/>
      <c r="F799" s="63"/>
      <c r="G799" s="63"/>
      <c r="H799" s="63"/>
    </row>
    <row r="800">
      <c r="A800" s="64"/>
      <c r="E800" s="33"/>
      <c r="F800" s="63"/>
      <c r="G800" s="63"/>
      <c r="H800" s="63"/>
    </row>
    <row r="801">
      <c r="A801" s="64"/>
      <c r="E801" s="33"/>
      <c r="F801" s="63"/>
      <c r="G801" s="63"/>
      <c r="H801" s="63"/>
    </row>
    <row r="802">
      <c r="A802" s="64"/>
      <c r="E802" s="33"/>
      <c r="F802" s="63"/>
      <c r="G802" s="63"/>
      <c r="H802" s="63"/>
    </row>
    <row r="803">
      <c r="A803" s="64"/>
      <c r="E803" s="33"/>
      <c r="F803" s="63"/>
      <c r="G803" s="63"/>
      <c r="H803" s="63"/>
    </row>
    <row r="804">
      <c r="A804" s="64"/>
      <c r="E804" s="33"/>
      <c r="F804" s="63"/>
      <c r="G804" s="63"/>
      <c r="H804" s="63"/>
    </row>
    <row r="805">
      <c r="A805" s="64"/>
      <c r="E805" s="33"/>
      <c r="F805" s="63"/>
      <c r="G805" s="63"/>
      <c r="H805" s="63"/>
    </row>
    <row r="806">
      <c r="A806" s="64"/>
      <c r="E806" s="33"/>
      <c r="F806" s="63"/>
      <c r="G806" s="63"/>
      <c r="H806" s="63"/>
    </row>
    <row r="807">
      <c r="A807" s="64"/>
      <c r="E807" s="33"/>
      <c r="F807" s="63"/>
      <c r="G807" s="63"/>
      <c r="H807" s="63"/>
    </row>
    <row r="808">
      <c r="A808" s="64"/>
      <c r="E808" s="33"/>
      <c r="F808" s="63"/>
      <c r="G808" s="63"/>
      <c r="H808" s="63"/>
    </row>
    <row r="809">
      <c r="A809" s="64"/>
      <c r="E809" s="33"/>
      <c r="F809" s="63"/>
      <c r="G809" s="63"/>
      <c r="H809" s="63"/>
    </row>
    <row r="810">
      <c r="A810" s="64"/>
      <c r="E810" s="33"/>
      <c r="F810" s="63"/>
      <c r="G810" s="63"/>
      <c r="H810" s="63"/>
    </row>
    <row r="811">
      <c r="A811" s="64"/>
      <c r="E811" s="33"/>
      <c r="F811" s="63"/>
      <c r="G811" s="63"/>
      <c r="H811" s="63"/>
    </row>
    <row r="812">
      <c r="A812" s="64"/>
      <c r="E812" s="33"/>
      <c r="F812" s="63"/>
      <c r="G812" s="63"/>
      <c r="H812" s="63"/>
    </row>
    <row r="813">
      <c r="A813" s="64"/>
      <c r="E813" s="33"/>
      <c r="F813" s="63"/>
      <c r="G813" s="63"/>
      <c r="H813" s="63"/>
    </row>
    <row r="814">
      <c r="A814" s="64"/>
      <c r="E814" s="33"/>
      <c r="F814" s="63"/>
      <c r="G814" s="63"/>
      <c r="H814" s="63"/>
    </row>
    <row r="815">
      <c r="A815" s="64"/>
      <c r="E815" s="33"/>
      <c r="F815" s="63"/>
      <c r="G815" s="63"/>
      <c r="H815" s="63"/>
    </row>
    <row r="816">
      <c r="A816" s="64"/>
      <c r="E816" s="33"/>
      <c r="F816" s="63"/>
      <c r="G816" s="63"/>
      <c r="H816" s="63"/>
    </row>
    <row r="817">
      <c r="A817" s="64"/>
      <c r="E817" s="33"/>
      <c r="F817" s="63"/>
      <c r="G817" s="63"/>
      <c r="H817" s="63"/>
    </row>
    <row r="818">
      <c r="A818" s="64"/>
      <c r="E818" s="33"/>
      <c r="F818" s="63"/>
      <c r="G818" s="63"/>
      <c r="H818" s="63"/>
    </row>
    <row r="819">
      <c r="A819" s="64"/>
      <c r="E819" s="33"/>
      <c r="F819" s="63"/>
      <c r="G819" s="63"/>
      <c r="H819" s="63"/>
    </row>
    <row r="820">
      <c r="A820" s="64"/>
      <c r="E820" s="33"/>
      <c r="F820" s="63"/>
      <c r="G820" s="63"/>
      <c r="H820" s="63"/>
    </row>
    <row r="821">
      <c r="A821" s="64"/>
      <c r="E821" s="33"/>
      <c r="F821" s="63"/>
      <c r="G821" s="63"/>
      <c r="H821" s="63"/>
    </row>
    <row r="822">
      <c r="A822" s="64"/>
      <c r="E822" s="33"/>
      <c r="F822" s="63"/>
      <c r="G822" s="63"/>
      <c r="H822" s="63"/>
    </row>
    <row r="823">
      <c r="A823" s="64"/>
      <c r="E823" s="33"/>
      <c r="F823" s="63"/>
      <c r="G823" s="63"/>
      <c r="H823" s="63"/>
    </row>
    <row r="824">
      <c r="A824" s="64"/>
      <c r="E824" s="33"/>
      <c r="F824" s="63"/>
      <c r="G824" s="63"/>
      <c r="H824" s="63"/>
    </row>
    <row r="825">
      <c r="A825" s="64"/>
      <c r="E825" s="33"/>
      <c r="F825" s="63"/>
      <c r="G825" s="63"/>
      <c r="H825" s="63"/>
    </row>
    <row r="826">
      <c r="A826" s="64"/>
      <c r="E826" s="33"/>
      <c r="F826" s="63"/>
      <c r="G826" s="63"/>
      <c r="H826" s="63"/>
    </row>
    <row r="827">
      <c r="A827" s="64"/>
      <c r="E827" s="33"/>
      <c r="F827" s="63"/>
      <c r="G827" s="63"/>
      <c r="H827" s="63"/>
    </row>
    <row r="828">
      <c r="A828" s="64"/>
      <c r="E828" s="33"/>
      <c r="F828" s="63"/>
      <c r="G828" s="63"/>
      <c r="H828" s="63"/>
    </row>
    <row r="829">
      <c r="A829" s="64"/>
      <c r="E829" s="33"/>
      <c r="F829" s="63"/>
      <c r="G829" s="63"/>
      <c r="H829" s="63"/>
    </row>
    <row r="830">
      <c r="A830" s="64"/>
      <c r="E830" s="33"/>
      <c r="F830" s="63"/>
      <c r="G830" s="63"/>
      <c r="H830" s="63"/>
    </row>
    <row r="831">
      <c r="A831" s="64"/>
      <c r="E831" s="33"/>
      <c r="F831" s="63"/>
      <c r="G831" s="63"/>
      <c r="H831" s="63"/>
    </row>
    <row r="832">
      <c r="A832" s="64"/>
      <c r="E832" s="33"/>
      <c r="F832" s="63"/>
      <c r="G832" s="63"/>
      <c r="H832" s="63"/>
    </row>
    <row r="833">
      <c r="A833" s="64"/>
      <c r="E833" s="33"/>
      <c r="F833" s="63"/>
      <c r="G833" s="63"/>
      <c r="H833" s="63"/>
    </row>
    <row r="834">
      <c r="A834" s="64"/>
      <c r="E834" s="33"/>
      <c r="F834" s="63"/>
      <c r="G834" s="63"/>
      <c r="H834" s="63"/>
    </row>
    <row r="835">
      <c r="A835" s="64"/>
      <c r="E835" s="33"/>
      <c r="F835" s="63"/>
      <c r="G835" s="63"/>
      <c r="H835" s="63"/>
    </row>
    <row r="836">
      <c r="A836" s="64"/>
      <c r="E836" s="33"/>
      <c r="F836" s="63"/>
      <c r="G836" s="63"/>
      <c r="H836" s="63"/>
    </row>
    <row r="837">
      <c r="A837" s="64"/>
      <c r="E837" s="33"/>
      <c r="F837" s="63"/>
      <c r="G837" s="63"/>
      <c r="H837" s="63"/>
    </row>
    <row r="838">
      <c r="A838" s="64"/>
      <c r="E838" s="33"/>
      <c r="F838" s="63"/>
      <c r="G838" s="63"/>
      <c r="H838" s="63"/>
    </row>
    <row r="839">
      <c r="A839" s="64"/>
      <c r="E839" s="33"/>
      <c r="F839" s="63"/>
      <c r="G839" s="63"/>
      <c r="H839" s="63"/>
    </row>
    <row r="840">
      <c r="A840" s="64"/>
      <c r="E840" s="33"/>
      <c r="F840" s="63"/>
      <c r="G840" s="63"/>
      <c r="H840" s="63"/>
    </row>
    <row r="841">
      <c r="A841" s="64"/>
      <c r="E841" s="33"/>
      <c r="F841" s="63"/>
      <c r="G841" s="63"/>
      <c r="H841" s="63"/>
    </row>
    <row r="842">
      <c r="A842" s="64"/>
      <c r="E842" s="33"/>
      <c r="F842" s="63"/>
      <c r="G842" s="63"/>
      <c r="H842" s="63"/>
    </row>
    <row r="843">
      <c r="A843" s="64"/>
      <c r="E843" s="33"/>
      <c r="F843" s="63"/>
      <c r="G843" s="63"/>
      <c r="H843" s="63"/>
    </row>
    <row r="844">
      <c r="A844" s="64"/>
      <c r="E844" s="33"/>
      <c r="F844" s="63"/>
      <c r="G844" s="63"/>
      <c r="H844" s="63"/>
    </row>
    <row r="845">
      <c r="A845" s="64"/>
      <c r="E845" s="33"/>
      <c r="F845" s="63"/>
      <c r="G845" s="63"/>
      <c r="H845" s="63"/>
    </row>
    <row r="846">
      <c r="A846" s="64"/>
      <c r="E846" s="33"/>
      <c r="F846" s="63"/>
      <c r="G846" s="63"/>
      <c r="H846" s="63"/>
    </row>
    <row r="847">
      <c r="A847" s="64"/>
      <c r="E847" s="33"/>
      <c r="F847" s="63"/>
      <c r="G847" s="63"/>
      <c r="H847" s="63"/>
    </row>
    <row r="848">
      <c r="A848" s="64"/>
      <c r="E848" s="33"/>
      <c r="F848" s="63"/>
      <c r="G848" s="63"/>
      <c r="H848" s="63"/>
    </row>
    <row r="849">
      <c r="A849" s="64"/>
      <c r="E849" s="33"/>
      <c r="F849" s="63"/>
      <c r="G849" s="63"/>
      <c r="H849" s="63"/>
    </row>
    <row r="850">
      <c r="A850" s="64"/>
      <c r="E850" s="33"/>
      <c r="F850" s="63"/>
      <c r="G850" s="63"/>
      <c r="H850" s="63"/>
    </row>
    <row r="851">
      <c r="A851" s="64"/>
      <c r="E851" s="33"/>
      <c r="F851" s="63"/>
      <c r="G851" s="63"/>
      <c r="H851" s="63"/>
    </row>
    <row r="852">
      <c r="A852" s="64"/>
      <c r="E852" s="33"/>
      <c r="F852" s="63"/>
      <c r="G852" s="63"/>
      <c r="H852" s="63"/>
    </row>
    <row r="853">
      <c r="A853" s="64"/>
      <c r="E853" s="33"/>
      <c r="F853" s="63"/>
      <c r="G853" s="63"/>
      <c r="H853" s="63"/>
    </row>
    <row r="854">
      <c r="A854" s="64"/>
      <c r="E854" s="33"/>
      <c r="F854" s="63"/>
      <c r="G854" s="63"/>
      <c r="H854" s="63"/>
    </row>
    <row r="855">
      <c r="A855" s="64"/>
      <c r="E855" s="33"/>
      <c r="F855" s="63"/>
      <c r="G855" s="63"/>
      <c r="H855" s="63"/>
    </row>
    <row r="856">
      <c r="A856" s="64"/>
      <c r="E856" s="33"/>
      <c r="F856" s="63"/>
      <c r="G856" s="63"/>
      <c r="H856" s="63"/>
    </row>
    <row r="857">
      <c r="A857" s="64"/>
      <c r="E857" s="33"/>
      <c r="F857" s="63"/>
      <c r="G857" s="63"/>
      <c r="H857" s="63"/>
    </row>
    <row r="858">
      <c r="A858" s="64"/>
      <c r="E858" s="33"/>
      <c r="F858" s="63"/>
      <c r="G858" s="63"/>
      <c r="H858" s="63"/>
    </row>
    <row r="859">
      <c r="A859" s="64"/>
      <c r="E859" s="33"/>
      <c r="F859" s="63"/>
      <c r="G859" s="63"/>
      <c r="H859" s="63"/>
    </row>
    <row r="860">
      <c r="A860" s="64"/>
      <c r="E860" s="33"/>
      <c r="F860" s="63"/>
      <c r="G860" s="63"/>
      <c r="H860" s="63"/>
    </row>
    <row r="861">
      <c r="A861" s="64"/>
      <c r="E861" s="33"/>
      <c r="F861" s="63"/>
      <c r="G861" s="63"/>
      <c r="H861" s="63"/>
    </row>
    <row r="862">
      <c r="A862" s="64"/>
      <c r="E862" s="33"/>
      <c r="F862" s="63"/>
      <c r="G862" s="63"/>
      <c r="H862" s="63"/>
    </row>
    <row r="863">
      <c r="A863" s="64"/>
      <c r="E863" s="33"/>
      <c r="F863" s="63"/>
      <c r="G863" s="63"/>
      <c r="H863" s="63"/>
    </row>
    <row r="864">
      <c r="A864" s="64"/>
      <c r="E864" s="33"/>
      <c r="F864" s="63"/>
      <c r="G864" s="63"/>
      <c r="H864" s="63"/>
    </row>
    <row r="865">
      <c r="A865" s="64"/>
      <c r="E865" s="33"/>
      <c r="F865" s="63"/>
      <c r="G865" s="63"/>
      <c r="H865" s="63"/>
    </row>
    <row r="866">
      <c r="A866" s="64"/>
      <c r="E866" s="33"/>
      <c r="F866" s="63"/>
      <c r="G866" s="63"/>
      <c r="H866" s="63"/>
    </row>
    <row r="867">
      <c r="A867" s="64"/>
      <c r="E867" s="33"/>
      <c r="F867" s="63"/>
      <c r="G867" s="63"/>
      <c r="H867" s="63"/>
    </row>
    <row r="868">
      <c r="A868" s="64"/>
      <c r="E868" s="33"/>
      <c r="F868" s="63"/>
      <c r="G868" s="63"/>
      <c r="H868" s="63"/>
    </row>
    <row r="869">
      <c r="A869" s="64"/>
      <c r="E869" s="33"/>
      <c r="F869" s="63"/>
      <c r="G869" s="63"/>
      <c r="H869" s="63"/>
    </row>
    <row r="870">
      <c r="A870" s="64"/>
      <c r="E870" s="33"/>
      <c r="F870" s="63"/>
      <c r="G870" s="63"/>
      <c r="H870" s="63"/>
    </row>
    <row r="871">
      <c r="A871" s="64"/>
      <c r="E871" s="33"/>
      <c r="F871" s="63"/>
      <c r="G871" s="63"/>
      <c r="H871" s="63"/>
    </row>
    <row r="872">
      <c r="A872" s="64"/>
      <c r="E872" s="33"/>
      <c r="F872" s="63"/>
      <c r="G872" s="63"/>
      <c r="H872" s="63"/>
    </row>
    <row r="873">
      <c r="A873" s="64"/>
      <c r="E873" s="33"/>
      <c r="F873" s="63"/>
      <c r="G873" s="63"/>
      <c r="H873" s="63"/>
    </row>
    <row r="874">
      <c r="A874" s="64"/>
      <c r="E874" s="33"/>
      <c r="F874" s="63"/>
      <c r="G874" s="63"/>
      <c r="H874" s="63"/>
    </row>
    <row r="875">
      <c r="A875" s="64"/>
      <c r="E875" s="33"/>
      <c r="F875" s="63"/>
      <c r="G875" s="63"/>
      <c r="H875" s="63"/>
    </row>
    <row r="876">
      <c r="A876" s="64"/>
      <c r="E876" s="33"/>
      <c r="F876" s="63"/>
      <c r="G876" s="63"/>
      <c r="H876" s="63"/>
    </row>
    <row r="877">
      <c r="A877" s="64"/>
      <c r="E877" s="33"/>
      <c r="F877" s="63"/>
      <c r="G877" s="63"/>
      <c r="H877" s="63"/>
    </row>
    <row r="878">
      <c r="A878" s="64"/>
      <c r="E878" s="33"/>
      <c r="F878" s="63"/>
      <c r="G878" s="63"/>
      <c r="H878" s="63"/>
    </row>
    <row r="879">
      <c r="A879" s="64"/>
      <c r="E879" s="33"/>
      <c r="F879" s="63"/>
      <c r="G879" s="63"/>
      <c r="H879" s="63"/>
    </row>
    <row r="880">
      <c r="A880" s="64"/>
      <c r="E880" s="33"/>
      <c r="F880" s="63"/>
      <c r="G880" s="63"/>
      <c r="H880" s="63"/>
    </row>
    <row r="881">
      <c r="A881" s="64"/>
      <c r="E881" s="33"/>
      <c r="F881" s="63"/>
      <c r="G881" s="63"/>
      <c r="H881" s="63"/>
    </row>
    <row r="882">
      <c r="A882" s="64"/>
      <c r="E882" s="33"/>
      <c r="F882" s="63"/>
      <c r="G882" s="63"/>
      <c r="H882" s="63"/>
    </row>
    <row r="883">
      <c r="A883" s="64"/>
      <c r="E883" s="33"/>
      <c r="F883" s="63"/>
      <c r="G883" s="63"/>
      <c r="H883" s="63"/>
    </row>
    <row r="884">
      <c r="A884" s="64"/>
      <c r="E884" s="33"/>
      <c r="F884" s="63"/>
      <c r="G884" s="63"/>
      <c r="H884" s="63"/>
    </row>
    <row r="885">
      <c r="A885" s="64"/>
      <c r="E885" s="33"/>
      <c r="F885" s="63"/>
      <c r="G885" s="63"/>
      <c r="H885" s="63"/>
    </row>
    <row r="886">
      <c r="A886" s="64"/>
      <c r="E886" s="33"/>
      <c r="F886" s="63"/>
      <c r="G886" s="63"/>
      <c r="H886" s="63"/>
    </row>
    <row r="887">
      <c r="A887" s="64"/>
      <c r="E887" s="33"/>
      <c r="F887" s="63"/>
      <c r="G887" s="63"/>
      <c r="H887" s="63"/>
    </row>
    <row r="888">
      <c r="A888" s="64"/>
      <c r="E888" s="33"/>
      <c r="F888" s="63"/>
      <c r="G888" s="63"/>
      <c r="H888" s="63"/>
    </row>
    <row r="889">
      <c r="A889" s="64"/>
      <c r="E889" s="33"/>
      <c r="F889" s="63"/>
      <c r="G889" s="63"/>
      <c r="H889" s="63"/>
    </row>
    <row r="890">
      <c r="A890" s="64"/>
      <c r="E890" s="33"/>
      <c r="F890" s="63"/>
      <c r="G890" s="63"/>
      <c r="H890" s="63"/>
    </row>
    <row r="891">
      <c r="A891" s="64"/>
      <c r="E891" s="33"/>
      <c r="F891" s="63"/>
      <c r="G891" s="63"/>
      <c r="H891" s="63"/>
    </row>
    <row r="892">
      <c r="A892" s="64"/>
      <c r="E892" s="33"/>
      <c r="F892" s="63"/>
      <c r="G892" s="63"/>
      <c r="H892" s="63"/>
    </row>
    <row r="893">
      <c r="A893" s="64"/>
      <c r="E893" s="33"/>
      <c r="F893" s="63"/>
      <c r="G893" s="63"/>
      <c r="H893" s="63"/>
    </row>
    <row r="894">
      <c r="A894" s="64"/>
      <c r="E894" s="33"/>
      <c r="F894" s="63"/>
      <c r="G894" s="63"/>
      <c r="H894" s="63"/>
    </row>
    <row r="895">
      <c r="A895" s="64"/>
      <c r="E895" s="33"/>
      <c r="F895" s="63"/>
      <c r="G895" s="63"/>
      <c r="H895" s="63"/>
    </row>
    <row r="896">
      <c r="A896" s="64"/>
      <c r="E896" s="33"/>
      <c r="F896" s="63"/>
      <c r="G896" s="63"/>
      <c r="H896" s="63"/>
    </row>
    <row r="897">
      <c r="A897" s="64"/>
      <c r="E897" s="33"/>
      <c r="F897" s="63"/>
      <c r="G897" s="63"/>
      <c r="H897" s="63"/>
    </row>
    <row r="898">
      <c r="A898" s="64"/>
      <c r="E898" s="33"/>
      <c r="F898" s="63"/>
      <c r="G898" s="63"/>
      <c r="H898" s="63"/>
    </row>
    <row r="899">
      <c r="A899" s="64"/>
      <c r="E899" s="33"/>
      <c r="F899" s="63"/>
      <c r="G899" s="63"/>
      <c r="H899" s="63"/>
    </row>
    <row r="900">
      <c r="A900" s="64"/>
      <c r="E900" s="33"/>
      <c r="F900" s="63"/>
      <c r="G900" s="63"/>
      <c r="H900" s="63"/>
    </row>
    <row r="901">
      <c r="A901" s="64"/>
      <c r="E901" s="33"/>
      <c r="F901" s="63"/>
      <c r="G901" s="63"/>
      <c r="H901" s="63"/>
    </row>
    <row r="902">
      <c r="A902" s="64"/>
      <c r="E902" s="33"/>
      <c r="F902" s="63"/>
      <c r="G902" s="63"/>
      <c r="H902" s="63"/>
    </row>
    <row r="903">
      <c r="A903" s="64"/>
      <c r="E903" s="33"/>
      <c r="F903" s="63"/>
      <c r="G903" s="63"/>
      <c r="H903" s="63"/>
    </row>
    <row r="904">
      <c r="A904" s="64"/>
      <c r="E904" s="33"/>
      <c r="F904" s="63"/>
      <c r="G904" s="63"/>
      <c r="H904" s="63"/>
    </row>
    <row r="905">
      <c r="A905" s="64"/>
      <c r="E905" s="33"/>
      <c r="F905" s="63"/>
      <c r="G905" s="63"/>
      <c r="H905" s="63"/>
    </row>
    <row r="906">
      <c r="A906" s="64"/>
      <c r="E906" s="33"/>
      <c r="F906" s="63"/>
      <c r="G906" s="63"/>
      <c r="H906" s="63"/>
    </row>
    <row r="907">
      <c r="A907" s="64"/>
      <c r="E907" s="33"/>
      <c r="F907" s="63"/>
      <c r="G907" s="63"/>
      <c r="H907" s="63"/>
    </row>
    <row r="908">
      <c r="A908" s="64"/>
      <c r="E908" s="33"/>
      <c r="F908" s="63"/>
      <c r="G908" s="63"/>
      <c r="H908" s="63"/>
    </row>
    <row r="909">
      <c r="A909" s="64"/>
      <c r="E909" s="33"/>
      <c r="F909" s="63"/>
      <c r="G909" s="63"/>
      <c r="H909" s="63"/>
    </row>
    <row r="910">
      <c r="A910" s="64"/>
      <c r="E910" s="33"/>
      <c r="F910" s="63"/>
      <c r="G910" s="63"/>
      <c r="H910" s="63"/>
    </row>
    <row r="911">
      <c r="A911" s="64"/>
      <c r="E911" s="33"/>
      <c r="F911" s="63"/>
      <c r="G911" s="63"/>
      <c r="H911" s="63"/>
    </row>
    <row r="912">
      <c r="A912" s="64"/>
      <c r="E912" s="33"/>
      <c r="F912" s="63"/>
      <c r="G912" s="63"/>
      <c r="H912" s="63"/>
    </row>
    <row r="913">
      <c r="A913" s="64"/>
      <c r="E913" s="33"/>
      <c r="F913" s="63"/>
      <c r="G913" s="63"/>
      <c r="H913" s="63"/>
    </row>
    <row r="914">
      <c r="A914" s="64"/>
      <c r="E914" s="33"/>
      <c r="F914" s="63"/>
      <c r="G914" s="63"/>
      <c r="H914" s="63"/>
    </row>
    <row r="915">
      <c r="A915" s="64"/>
      <c r="E915" s="33"/>
      <c r="F915" s="63"/>
      <c r="G915" s="63"/>
      <c r="H915" s="63"/>
    </row>
    <row r="916">
      <c r="A916" s="64"/>
      <c r="E916" s="33"/>
      <c r="F916" s="63"/>
      <c r="G916" s="63"/>
      <c r="H916" s="63"/>
    </row>
    <row r="917">
      <c r="A917" s="64"/>
      <c r="E917" s="33"/>
      <c r="F917" s="63"/>
      <c r="G917" s="63"/>
      <c r="H917" s="63"/>
    </row>
    <row r="918">
      <c r="A918" s="64"/>
      <c r="E918" s="33"/>
      <c r="F918" s="63"/>
      <c r="G918" s="63"/>
      <c r="H918" s="63"/>
    </row>
    <row r="919">
      <c r="A919" s="64"/>
      <c r="E919" s="33"/>
      <c r="F919" s="63"/>
      <c r="G919" s="63"/>
      <c r="H919" s="63"/>
    </row>
    <row r="920">
      <c r="A920" s="64"/>
      <c r="E920" s="33"/>
      <c r="F920" s="63"/>
      <c r="G920" s="63"/>
      <c r="H920" s="63"/>
    </row>
    <row r="921">
      <c r="A921" s="64"/>
      <c r="E921" s="33"/>
      <c r="F921" s="63"/>
      <c r="G921" s="63"/>
      <c r="H921" s="63"/>
    </row>
    <row r="922">
      <c r="A922" s="64"/>
      <c r="E922" s="33"/>
      <c r="F922" s="63"/>
      <c r="G922" s="63"/>
      <c r="H922" s="63"/>
    </row>
    <row r="923">
      <c r="A923" s="64"/>
      <c r="E923" s="33"/>
      <c r="F923" s="63"/>
      <c r="G923" s="63"/>
      <c r="H923" s="63"/>
    </row>
    <row r="924">
      <c r="A924" s="64"/>
      <c r="E924" s="33"/>
      <c r="F924" s="63"/>
      <c r="G924" s="63"/>
      <c r="H924" s="63"/>
    </row>
    <row r="925">
      <c r="A925" s="64"/>
      <c r="E925" s="33"/>
      <c r="F925" s="63"/>
      <c r="G925" s="63"/>
      <c r="H925" s="63"/>
    </row>
    <row r="926">
      <c r="A926" s="64"/>
      <c r="E926" s="33"/>
      <c r="F926" s="63"/>
      <c r="G926" s="63"/>
      <c r="H926" s="63"/>
    </row>
    <row r="927">
      <c r="A927" s="64"/>
      <c r="E927" s="33"/>
      <c r="F927" s="63"/>
      <c r="G927" s="63"/>
      <c r="H927" s="63"/>
    </row>
    <row r="928">
      <c r="A928" s="64"/>
      <c r="E928" s="33"/>
      <c r="F928" s="63"/>
      <c r="G928" s="63"/>
      <c r="H928" s="63"/>
    </row>
    <row r="929">
      <c r="A929" s="64"/>
      <c r="E929" s="33"/>
      <c r="F929" s="63"/>
      <c r="G929" s="63"/>
      <c r="H929" s="63"/>
    </row>
    <row r="930">
      <c r="A930" s="64"/>
      <c r="E930" s="33"/>
      <c r="F930" s="63"/>
      <c r="G930" s="63"/>
      <c r="H930" s="63"/>
    </row>
    <row r="931">
      <c r="A931" s="64"/>
      <c r="E931" s="33"/>
      <c r="F931" s="63"/>
      <c r="G931" s="63"/>
      <c r="H931" s="63"/>
    </row>
    <row r="932">
      <c r="A932" s="64"/>
      <c r="E932" s="33"/>
      <c r="F932" s="63"/>
      <c r="G932" s="63"/>
      <c r="H932" s="63"/>
    </row>
    <row r="933">
      <c r="A933" s="64"/>
      <c r="E933" s="33"/>
      <c r="F933" s="63"/>
      <c r="G933" s="63"/>
      <c r="H933" s="63"/>
    </row>
    <row r="934">
      <c r="A934" s="64"/>
      <c r="E934" s="33"/>
      <c r="F934" s="63"/>
      <c r="G934" s="63"/>
      <c r="H934" s="63"/>
    </row>
    <row r="935">
      <c r="A935" s="64"/>
      <c r="E935" s="33"/>
      <c r="F935" s="63"/>
      <c r="G935" s="63"/>
      <c r="H935" s="63"/>
    </row>
    <row r="936">
      <c r="A936" s="64"/>
      <c r="E936" s="33"/>
      <c r="F936" s="63"/>
      <c r="G936" s="63"/>
      <c r="H936" s="63"/>
    </row>
    <row r="937">
      <c r="A937" s="64"/>
      <c r="E937" s="33"/>
      <c r="F937" s="63"/>
      <c r="G937" s="63"/>
      <c r="H937" s="63"/>
    </row>
    <row r="938">
      <c r="A938" s="64"/>
      <c r="E938" s="33"/>
      <c r="F938" s="63"/>
      <c r="G938" s="63"/>
      <c r="H938" s="63"/>
    </row>
    <row r="939">
      <c r="A939" s="64"/>
      <c r="E939" s="33"/>
      <c r="F939" s="63"/>
      <c r="G939" s="63"/>
      <c r="H939" s="63"/>
    </row>
    <row r="940">
      <c r="A940" s="64"/>
      <c r="E940" s="33"/>
      <c r="F940" s="63"/>
      <c r="G940" s="63"/>
      <c r="H940" s="63"/>
    </row>
    <row r="941">
      <c r="A941" s="64"/>
      <c r="E941" s="33"/>
      <c r="F941" s="63"/>
      <c r="G941" s="63"/>
      <c r="H941" s="63"/>
    </row>
    <row r="942">
      <c r="A942" s="64"/>
      <c r="E942" s="33"/>
      <c r="F942" s="63"/>
      <c r="G942" s="63"/>
      <c r="H942" s="63"/>
    </row>
    <row r="943">
      <c r="A943" s="64"/>
      <c r="E943" s="33"/>
      <c r="F943" s="63"/>
      <c r="G943" s="63"/>
      <c r="H943" s="63"/>
    </row>
    <row r="944">
      <c r="A944" s="64"/>
      <c r="E944" s="33"/>
      <c r="F944" s="63"/>
      <c r="G944" s="63"/>
      <c r="H944" s="63"/>
    </row>
    <row r="945">
      <c r="A945" s="64"/>
      <c r="E945" s="33"/>
      <c r="F945" s="63"/>
      <c r="G945" s="63"/>
      <c r="H945" s="63"/>
    </row>
    <row r="946">
      <c r="A946" s="64"/>
      <c r="E946" s="33"/>
      <c r="F946" s="63"/>
      <c r="G946" s="63"/>
      <c r="H946" s="63"/>
    </row>
    <row r="947">
      <c r="A947" s="64"/>
      <c r="E947" s="33"/>
      <c r="F947" s="63"/>
      <c r="G947" s="63"/>
      <c r="H947" s="63"/>
    </row>
    <row r="948">
      <c r="A948" s="64"/>
      <c r="E948" s="33"/>
      <c r="F948" s="63"/>
      <c r="G948" s="63"/>
      <c r="H948" s="63"/>
    </row>
    <row r="949">
      <c r="A949" s="64"/>
      <c r="E949" s="33"/>
      <c r="F949" s="63"/>
      <c r="G949" s="63"/>
      <c r="H949" s="63"/>
    </row>
    <row r="950">
      <c r="A950" s="64"/>
      <c r="E950" s="33"/>
      <c r="F950" s="63"/>
      <c r="G950" s="63"/>
      <c r="H950" s="63"/>
    </row>
    <row r="951">
      <c r="A951" s="64"/>
      <c r="E951" s="33"/>
      <c r="F951" s="63"/>
      <c r="G951" s="63"/>
      <c r="H951" s="63"/>
    </row>
    <row r="952">
      <c r="A952" s="64"/>
      <c r="E952" s="33"/>
      <c r="F952" s="63"/>
      <c r="G952" s="63"/>
      <c r="H952" s="63"/>
    </row>
    <row r="953">
      <c r="A953" s="64"/>
      <c r="E953" s="33"/>
      <c r="F953" s="63"/>
      <c r="G953" s="63"/>
      <c r="H953" s="63"/>
    </row>
    <row r="954">
      <c r="A954" s="64"/>
      <c r="E954" s="33"/>
      <c r="F954" s="63"/>
      <c r="G954" s="63"/>
      <c r="H954" s="63"/>
    </row>
    <row r="955">
      <c r="A955" s="64"/>
      <c r="E955" s="33"/>
      <c r="F955" s="63"/>
      <c r="G955" s="63"/>
      <c r="H955" s="63"/>
    </row>
    <row r="956">
      <c r="A956" s="64"/>
      <c r="E956" s="33"/>
      <c r="F956" s="63"/>
      <c r="G956" s="63"/>
      <c r="H956" s="63"/>
    </row>
    <row r="957">
      <c r="A957" s="64"/>
      <c r="E957" s="33"/>
      <c r="F957" s="63"/>
      <c r="G957" s="63"/>
      <c r="H957" s="63"/>
    </row>
    <row r="958">
      <c r="A958" s="64"/>
      <c r="E958" s="33"/>
      <c r="F958" s="63"/>
      <c r="G958" s="63"/>
      <c r="H958" s="63"/>
    </row>
    <row r="959">
      <c r="A959" s="64"/>
      <c r="E959" s="33"/>
      <c r="F959" s="63"/>
      <c r="G959" s="63"/>
      <c r="H959" s="63"/>
    </row>
    <row r="960">
      <c r="A960" s="64"/>
      <c r="E960" s="33"/>
      <c r="F960" s="63"/>
      <c r="G960" s="63"/>
      <c r="H960" s="63"/>
    </row>
    <row r="961">
      <c r="A961" s="64"/>
      <c r="E961" s="33"/>
      <c r="F961" s="63"/>
      <c r="G961" s="63"/>
      <c r="H961" s="63"/>
    </row>
    <row r="962">
      <c r="A962" s="64"/>
      <c r="E962" s="33"/>
      <c r="F962" s="63"/>
      <c r="G962" s="63"/>
      <c r="H962" s="63"/>
    </row>
    <row r="963">
      <c r="A963" s="64"/>
      <c r="E963" s="33"/>
      <c r="F963" s="63"/>
      <c r="G963" s="63"/>
      <c r="H963" s="63"/>
    </row>
    <row r="964">
      <c r="A964" s="64"/>
      <c r="E964" s="33"/>
      <c r="F964" s="63"/>
      <c r="G964" s="63"/>
      <c r="H964" s="63"/>
    </row>
    <row r="965">
      <c r="A965" s="64"/>
      <c r="E965" s="33"/>
      <c r="F965" s="63"/>
      <c r="G965" s="63"/>
      <c r="H965" s="63"/>
    </row>
    <row r="966">
      <c r="A966" s="64"/>
      <c r="E966" s="33"/>
      <c r="F966" s="63"/>
      <c r="G966" s="63"/>
      <c r="H966" s="63"/>
    </row>
    <row r="967">
      <c r="A967" s="64"/>
      <c r="E967" s="33"/>
      <c r="F967" s="63"/>
      <c r="G967" s="63"/>
      <c r="H967" s="63"/>
    </row>
    <row r="968">
      <c r="A968" s="64"/>
      <c r="E968" s="33"/>
      <c r="F968" s="63"/>
      <c r="G968" s="63"/>
      <c r="H968" s="63"/>
    </row>
    <row r="969">
      <c r="A969" s="64"/>
      <c r="E969" s="33"/>
      <c r="F969" s="63"/>
      <c r="G969" s="63"/>
      <c r="H969" s="63"/>
    </row>
    <row r="970">
      <c r="A970" s="64"/>
      <c r="E970" s="33"/>
      <c r="F970" s="63"/>
      <c r="G970" s="63"/>
      <c r="H970" s="63"/>
    </row>
    <row r="971">
      <c r="A971" s="64"/>
      <c r="E971" s="33"/>
      <c r="F971" s="63"/>
      <c r="G971" s="63"/>
      <c r="H971" s="63"/>
    </row>
    <row r="972">
      <c r="A972" s="64"/>
      <c r="E972" s="33"/>
      <c r="F972" s="63"/>
      <c r="G972" s="63"/>
      <c r="H972" s="63"/>
    </row>
    <row r="973">
      <c r="A973" s="64"/>
      <c r="E973" s="33"/>
      <c r="F973" s="63"/>
      <c r="G973" s="63"/>
      <c r="H973" s="63"/>
    </row>
    <row r="974">
      <c r="A974" s="64"/>
      <c r="E974" s="33"/>
      <c r="F974" s="63"/>
      <c r="G974" s="63"/>
      <c r="H974" s="63"/>
    </row>
    <row r="975">
      <c r="A975" s="64"/>
      <c r="E975" s="33"/>
      <c r="F975" s="63"/>
      <c r="G975" s="63"/>
      <c r="H975" s="63"/>
    </row>
    <row r="976">
      <c r="A976" s="64"/>
      <c r="E976" s="33"/>
      <c r="F976" s="63"/>
      <c r="G976" s="63"/>
      <c r="H976" s="63"/>
    </row>
    <row r="977">
      <c r="A977" s="64"/>
      <c r="E977" s="33"/>
      <c r="F977" s="63"/>
      <c r="G977" s="63"/>
      <c r="H977" s="63"/>
    </row>
    <row r="978">
      <c r="A978" s="64"/>
      <c r="E978" s="33"/>
      <c r="F978" s="63"/>
      <c r="G978" s="63"/>
      <c r="H978" s="63"/>
    </row>
    <row r="979">
      <c r="A979" s="64"/>
      <c r="E979" s="33"/>
      <c r="F979" s="63"/>
      <c r="G979" s="63"/>
      <c r="H979" s="63"/>
    </row>
    <row r="980">
      <c r="A980" s="64"/>
      <c r="E980" s="33"/>
      <c r="F980" s="63"/>
      <c r="G980" s="63"/>
      <c r="H980" s="63"/>
    </row>
    <row r="981">
      <c r="A981" s="64"/>
      <c r="E981" s="33"/>
      <c r="F981" s="63"/>
      <c r="G981" s="63"/>
      <c r="H981" s="63"/>
    </row>
    <row r="982">
      <c r="A982" s="64"/>
      <c r="E982" s="33"/>
      <c r="F982" s="63"/>
      <c r="G982" s="63"/>
      <c r="H982" s="63"/>
    </row>
    <row r="983">
      <c r="A983" s="64"/>
      <c r="E983" s="33"/>
      <c r="F983" s="63"/>
      <c r="G983" s="63"/>
      <c r="H983" s="63"/>
    </row>
    <row r="984">
      <c r="A984" s="64"/>
      <c r="E984" s="33"/>
      <c r="F984" s="63"/>
      <c r="G984" s="63"/>
      <c r="H984" s="63"/>
    </row>
    <row r="985">
      <c r="A985" s="64"/>
      <c r="E985" s="33"/>
      <c r="F985" s="63"/>
      <c r="G985" s="63"/>
      <c r="H985" s="63"/>
    </row>
    <row r="986">
      <c r="A986" s="64"/>
      <c r="E986" s="33"/>
      <c r="F986" s="63"/>
      <c r="G986" s="63"/>
      <c r="H986" s="63"/>
    </row>
    <row r="987">
      <c r="A987" s="64"/>
      <c r="E987" s="33"/>
      <c r="F987" s="63"/>
      <c r="G987" s="63"/>
      <c r="H987" s="63"/>
    </row>
    <row r="988">
      <c r="A988" s="64"/>
      <c r="E988" s="33"/>
      <c r="F988" s="63"/>
      <c r="G988" s="63"/>
      <c r="H988" s="63"/>
    </row>
    <row r="989">
      <c r="A989" s="64"/>
      <c r="E989" s="33"/>
      <c r="F989" s="63"/>
      <c r="G989" s="63"/>
      <c r="H989" s="63"/>
    </row>
    <row r="990">
      <c r="A990" s="64"/>
      <c r="E990" s="33"/>
      <c r="F990" s="63"/>
      <c r="G990" s="63"/>
      <c r="H990" s="63"/>
    </row>
    <row r="991">
      <c r="A991" s="64"/>
      <c r="E991" s="33"/>
      <c r="F991" s="63"/>
      <c r="G991" s="63"/>
      <c r="H991" s="63"/>
    </row>
    <row r="992">
      <c r="A992" s="64"/>
      <c r="E992" s="33"/>
      <c r="F992" s="63"/>
      <c r="G992" s="63"/>
      <c r="H992" s="63"/>
    </row>
    <row r="993">
      <c r="A993" s="64"/>
      <c r="E993" s="33"/>
      <c r="F993" s="63"/>
      <c r="G993" s="63"/>
      <c r="H993" s="63"/>
    </row>
    <row r="994">
      <c r="A994" s="64"/>
      <c r="E994" s="33"/>
      <c r="F994" s="63"/>
      <c r="G994" s="63"/>
      <c r="H994" s="63"/>
    </row>
    <row r="995">
      <c r="A995" s="64"/>
      <c r="E995" s="33"/>
      <c r="F995" s="63"/>
      <c r="G995" s="63"/>
      <c r="H995" s="63"/>
    </row>
    <row r="996">
      <c r="A996" s="64"/>
      <c r="E996" s="33"/>
      <c r="F996" s="63"/>
      <c r="G996" s="63"/>
      <c r="H996" s="63"/>
    </row>
    <row r="997">
      <c r="A997" s="64"/>
      <c r="E997" s="33"/>
      <c r="F997" s="63"/>
      <c r="G997" s="63"/>
      <c r="H997" s="63"/>
    </row>
    <row r="998">
      <c r="A998" s="64"/>
      <c r="E998" s="33"/>
      <c r="F998" s="63"/>
      <c r="G998" s="63"/>
      <c r="H998" s="63"/>
    </row>
    <row r="999">
      <c r="A999" s="64"/>
      <c r="E999" s="33"/>
      <c r="F999" s="63"/>
      <c r="G999" s="63"/>
      <c r="H999" s="63"/>
    </row>
    <row r="1000">
      <c r="A1000" s="64"/>
      <c r="E1000" s="33"/>
      <c r="F1000" s="63"/>
      <c r="G1000" s="63"/>
      <c r="H1000" s="63"/>
    </row>
    <row r="1001">
      <c r="A1001" s="64"/>
      <c r="E1001" s="33"/>
      <c r="F1001" s="63"/>
      <c r="G1001" s="63"/>
      <c r="H1001" s="63"/>
    </row>
    <row r="1002">
      <c r="A1002" s="64"/>
      <c r="E1002" s="33"/>
      <c r="F1002" s="63"/>
      <c r="G1002" s="63"/>
      <c r="H1002" s="63"/>
    </row>
    <row r="1003">
      <c r="A1003" s="64"/>
      <c r="E1003" s="33"/>
      <c r="F1003" s="63"/>
      <c r="G1003" s="63"/>
      <c r="H1003" s="63"/>
    </row>
    <row r="1004">
      <c r="A1004" s="64"/>
      <c r="E1004" s="33"/>
      <c r="F1004" s="63"/>
      <c r="G1004" s="63"/>
      <c r="H1004" s="63"/>
    </row>
    <row r="1005">
      <c r="A1005" s="64"/>
      <c r="E1005" s="33"/>
      <c r="F1005" s="63"/>
      <c r="G1005" s="63"/>
      <c r="H1005" s="63"/>
    </row>
    <row r="1006">
      <c r="A1006" s="64"/>
      <c r="E1006" s="33"/>
      <c r="F1006" s="63"/>
      <c r="G1006" s="63"/>
      <c r="H1006" s="63"/>
    </row>
    <row r="1007">
      <c r="A1007" s="64"/>
      <c r="E1007" s="33"/>
      <c r="F1007" s="63"/>
      <c r="G1007" s="63"/>
      <c r="H1007" s="63"/>
    </row>
    <row r="1008">
      <c r="A1008" s="64"/>
      <c r="E1008" s="33"/>
      <c r="F1008" s="63"/>
      <c r="G1008" s="63"/>
      <c r="H1008" s="63"/>
    </row>
    <row r="1009">
      <c r="A1009" s="64"/>
      <c r="E1009" s="33"/>
      <c r="F1009" s="63"/>
      <c r="G1009" s="63"/>
      <c r="H1009" s="63"/>
    </row>
    <row r="1010">
      <c r="A1010" s="64"/>
      <c r="E1010" s="33"/>
      <c r="F1010" s="63"/>
      <c r="G1010" s="63"/>
      <c r="H1010" s="63"/>
    </row>
    <row r="1011">
      <c r="A1011" s="64"/>
      <c r="E1011" s="33"/>
      <c r="F1011" s="63"/>
      <c r="G1011" s="63"/>
      <c r="H1011" s="63"/>
    </row>
    <row r="1012">
      <c r="A1012" s="64"/>
      <c r="E1012" s="33"/>
      <c r="F1012" s="63"/>
      <c r="G1012" s="63"/>
      <c r="H1012" s="63"/>
    </row>
    <row r="1013">
      <c r="A1013" s="64"/>
      <c r="E1013" s="33"/>
      <c r="F1013" s="63"/>
      <c r="G1013" s="63"/>
      <c r="H1013" s="63"/>
    </row>
    <row r="1014">
      <c r="A1014" s="64"/>
      <c r="E1014" s="33"/>
      <c r="F1014" s="63"/>
      <c r="G1014" s="63"/>
      <c r="H1014" s="63"/>
    </row>
    <row r="1015">
      <c r="A1015" s="64"/>
      <c r="E1015" s="33"/>
      <c r="F1015" s="63"/>
      <c r="G1015" s="63"/>
      <c r="H1015" s="63"/>
    </row>
    <row r="1016">
      <c r="A1016" s="64"/>
      <c r="E1016" s="33"/>
      <c r="F1016" s="63"/>
      <c r="G1016" s="63"/>
      <c r="H1016" s="63"/>
    </row>
    <row r="1017">
      <c r="A1017" s="64"/>
      <c r="E1017" s="33"/>
      <c r="F1017" s="63"/>
      <c r="G1017" s="63"/>
      <c r="H1017" s="63"/>
    </row>
    <row r="1018">
      <c r="A1018" s="64"/>
      <c r="E1018" s="33"/>
      <c r="F1018" s="63"/>
      <c r="G1018" s="63"/>
      <c r="H1018" s="63"/>
    </row>
    <row r="1019">
      <c r="A1019" s="64"/>
      <c r="E1019" s="33"/>
      <c r="F1019" s="63"/>
      <c r="G1019" s="63"/>
      <c r="H1019" s="63"/>
    </row>
    <row r="1020">
      <c r="A1020" s="64"/>
      <c r="E1020" s="33"/>
      <c r="F1020" s="63"/>
      <c r="G1020" s="63"/>
      <c r="H1020" s="63"/>
    </row>
    <row r="1021">
      <c r="A1021" s="64"/>
      <c r="E1021" s="33"/>
      <c r="F1021" s="63"/>
      <c r="G1021" s="63"/>
      <c r="H1021" s="63"/>
    </row>
    <row r="1022">
      <c r="A1022" s="64"/>
      <c r="E1022" s="33"/>
      <c r="F1022" s="63"/>
      <c r="G1022" s="63"/>
      <c r="H1022" s="63"/>
    </row>
    <row r="1023">
      <c r="A1023" s="64"/>
      <c r="E1023" s="33"/>
      <c r="F1023" s="63"/>
      <c r="G1023" s="63"/>
      <c r="H1023" s="63"/>
    </row>
    <row r="1024">
      <c r="A1024" s="64"/>
      <c r="E1024" s="33"/>
      <c r="F1024" s="63"/>
      <c r="G1024" s="63"/>
      <c r="H1024" s="63"/>
    </row>
    <row r="1025">
      <c r="A1025" s="64"/>
      <c r="E1025" s="33"/>
      <c r="F1025" s="63"/>
      <c r="G1025" s="63"/>
      <c r="H1025" s="63"/>
    </row>
    <row r="1026">
      <c r="A1026" s="64"/>
      <c r="E1026" s="33"/>
      <c r="F1026" s="63"/>
      <c r="G1026" s="63"/>
      <c r="H1026" s="63"/>
    </row>
    <row r="1027">
      <c r="A1027" s="64"/>
      <c r="E1027" s="33"/>
      <c r="F1027" s="63"/>
      <c r="G1027" s="63"/>
      <c r="H1027" s="63"/>
    </row>
    <row r="1028">
      <c r="A1028" s="64"/>
      <c r="E1028" s="33"/>
      <c r="F1028" s="63"/>
      <c r="G1028" s="63"/>
      <c r="H1028" s="63"/>
    </row>
    <row r="1029">
      <c r="A1029" s="64"/>
      <c r="E1029" s="33"/>
      <c r="F1029" s="63"/>
      <c r="G1029" s="63"/>
      <c r="H1029" s="63"/>
    </row>
    <row r="1030">
      <c r="A1030" s="64"/>
      <c r="E1030" s="33"/>
      <c r="F1030" s="63"/>
      <c r="G1030" s="63"/>
      <c r="H1030" s="63"/>
    </row>
    <row r="1031">
      <c r="A1031" s="64"/>
      <c r="E1031" s="33"/>
      <c r="F1031" s="63"/>
      <c r="G1031" s="63"/>
      <c r="H1031" s="63"/>
    </row>
    <row r="1032">
      <c r="A1032" s="64"/>
      <c r="E1032" s="33"/>
      <c r="F1032" s="63"/>
      <c r="G1032" s="63"/>
      <c r="H1032" s="63"/>
    </row>
    <row r="1033">
      <c r="A1033" s="64"/>
      <c r="E1033" s="33"/>
      <c r="F1033" s="63"/>
      <c r="G1033" s="63"/>
      <c r="H1033" s="63"/>
    </row>
    <row r="1034">
      <c r="A1034" s="64"/>
      <c r="E1034" s="33"/>
      <c r="F1034" s="63"/>
      <c r="G1034" s="63"/>
      <c r="H1034" s="63"/>
    </row>
    <row r="1035">
      <c r="A1035" s="64"/>
      <c r="E1035" s="33"/>
      <c r="F1035" s="63"/>
      <c r="G1035" s="63"/>
      <c r="H1035" s="63"/>
    </row>
    <row r="1036">
      <c r="A1036" s="64"/>
      <c r="E1036" s="33"/>
      <c r="F1036" s="63"/>
      <c r="G1036" s="63"/>
      <c r="H1036" s="63"/>
    </row>
    <row r="1037">
      <c r="A1037" s="64"/>
      <c r="E1037" s="33"/>
      <c r="F1037" s="63"/>
      <c r="G1037" s="63"/>
      <c r="H1037" s="63"/>
    </row>
    <row r="1038">
      <c r="A1038" s="64"/>
      <c r="E1038" s="33"/>
      <c r="F1038" s="63"/>
      <c r="G1038" s="63"/>
      <c r="H1038" s="63"/>
    </row>
    <row r="1039">
      <c r="A1039" s="64"/>
      <c r="E1039" s="33"/>
      <c r="F1039" s="63"/>
      <c r="G1039" s="63"/>
      <c r="H1039" s="63"/>
    </row>
    <row r="1040">
      <c r="A1040" s="64"/>
      <c r="E1040" s="33"/>
      <c r="F1040" s="63"/>
      <c r="G1040" s="63"/>
      <c r="H1040" s="63"/>
    </row>
    <row r="1041">
      <c r="A1041" s="64"/>
      <c r="E1041" s="33"/>
      <c r="F1041" s="63"/>
      <c r="G1041" s="63"/>
      <c r="H1041" s="63"/>
    </row>
    <row r="1042">
      <c r="A1042" s="64"/>
      <c r="E1042" s="33"/>
      <c r="F1042" s="63"/>
      <c r="G1042" s="63"/>
      <c r="H1042" s="63"/>
    </row>
    <row r="1043">
      <c r="A1043" s="64"/>
      <c r="E1043" s="33"/>
      <c r="F1043" s="63"/>
      <c r="G1043" s="63"/>
      <c r="H1043" s="63"/>
    </row>
    <row r="1044">
      <c r="A1044" s="64"/>
      <c r="E1044" s="33"/>
      <c r="F1044" s="63"/>
      <c r="G1044" s="63"/>
      <c r="H1044" s="63"/>
    </row>
    <row r="1045">
      <c r="A1045" s="64"/>
      <c r="E1045" s="33"/>
      <c r="F1045" s="63"/>
      <c r="G1045" s="63"/>
      <c r="H1045" s="63"/>
    </row>
    <row r="1046">
      <c r="A1046" s="64"/>
      <c r="E1046" s="33"/>
      <c r="F1046" s="63"/>
      <c r="G1046" s="63"/>
      <c r="H1046" s="63"/>
    </row>
    <row r="1047">
      <c r="A1047" s="64"/>
      <c r="E1047" s="33"/>
      <c r="F1047" s="63"/>
      <c r="G1047" s="63"/>
      <c r="H1047" s="63"/>
    </row>
    <row r="1048">
      <c r="A1048" s="64"/>
      <c r="E1048" s="33"/>
      <c r="F1048" s="63"/>
      <c r="G1048" s="63"/>
      <c r="H1048" s="63"/>
    </row>
    <row r="1049">
      <c r="A1049" s="64"/>
      <c r="E1049" s="33"/>
      <c r="F1049" s="63"/>
      <c r="G1049" s="63"/>
      <c r="H1049" s="63"/>
    </row>
    <row r="1050">
      <c r="A1050" s="64"/>
      <c r="E1050" s="33"/>
      <c r="F1050" s="63"/>
      <c r="G1050" s="63"/>
      <c r="H1050" s="63"/>
    </row>
    <row r="1051">
      <c r="A1051" s="64"/>
      <c r="E1051" s="33"/>
      <c r="F1051" s="63"/>
      <c r="G1051" s="63"/>
      <c r="H1051" s="63"/>
    </row>
    <row r="1052">
      <c r="A1052" s="64"/>
      <c r="E1052" s="33"/>
      <c r="F1052" s="63"/>
      <c r="G1052" s="63"/>
      <c r="H1052" s="63"/>
    </row>
    <row r="1053">
      <c r="A1053" s="64"/>
      <c r="E1053" s="33"/>
      <c r="F1053" s="63"/>
      <c r="G1053" s="63"/>
      <c r="H1053" s="63"/>
    </row>
    <row r="1054">
      <c r="A1054" s="64"/>
      <c r="E1054" s="33"/>
      <c r="F1054" s="63"/>
      <c r="G1054" s="63"/>
      <c r="H1054" s="63"/>
    </row>
    <row r="1055">
      <c r="A1055" s="64"/>
      <c r="E1055" s="33"/>
      <c r="F1055" s="63"/>
      <c r="G1055" s="63"/>
      <c r="H1055" s="63"/>
    </row>
    <row r="1056">
      <c r="A1056" s="64"/>
      <c r="E1056" s="33"/>
      <c r="F1056" s="63"/>
      <c r="G1056" s="63"/>
      <c r="H1056" s="63"/>
    </row>
    <row r="1057">
      <c r="A1057" s="64"/>
      <c r="E1057" s="33"/>
      <c r="F1057" s="63"/>
      <c r="G1057" s="63"/>
      <c r="H1057" s="63"/>
    </row>
    <row r="1058">
      <c r="A1058" s="64"/>
      <c r="E1058" s="33"/>
      <c r="F1058" s="63"/>
      <c r="G1058" s="63"/>
      <c r="H1058" s="63"/>
    </row>
    <row r="1059">
      <c r="A1059" s="64"/>
      <c r="E1059" s="33"/>
      <c r="F1059" s="63"/>
      <c r="G1059" s="63"/>
      <c r="H1059" s="63"/>
    </row>
    <row r="1060">
      <c r="A1060" s="64"/>
      <c r="E1060" s="33"/>
      <c r="F1060" s="63"/>
      <c r="G1060" s="63"/>
      <c r="H1060" s="63"/>
    </row>
    <row r="1061">
      <c r="A1061" s="64"/>
      <c r="E1061" s="33"/>
      <c r="F1061" s="63"/>
      <c r="G1061" s="63"/>
      <c r="H1061" s="63"/>
    </row>
    <row r="1062">
      <c r="A1062" s="64"/>
      <c r="E1062" s="33"/>
      <c r="F1062" s="63"/>
      <c r="G1062" s="63"/>
      <c r="H1062" s="63"/>
    </row>
    <row r="1063">
      <c r="A1063" s="64"/>
      <c r="E1063" s="33"/>
      <c r="F1063" s="63"/>
      <c r="G1063" s="63"/>
      <c r="H1063" s="63"/>
    </row>
    <row r="1064">
      <c r="A1064" s="64"/>
      <c r="E1064" s="33"/>
      <c r="F1064" s="63"/>
      <c r="G1064" s="63"/>
      <c r="H1064" s="63"/>
    </row>
    <row r="1065">
      <c r="A1065" s="64"/>
      <c r="E1065" s="33"/>
      <c r="F1065" s="63"/>
      <c r="G1065" s="63"/>
      <c r="H1065" s="63"/>
    </row>
    <row r="1066">
      <c r="A1066" s="64"/>
      <c r="E1066" s="33"/>
      <c r="F1066" s="63"/>
      <c r="G1066" s="63"/>
      <c r="H1066" s="63"/>
    </row>
    <row r="1067">
      <c r="A1067" s="64"/>
      <c r="E1067" s="33"/>
      <c r="F1067" s="63"/>
      <c r="G1067" s="63"/>
      <c r="H1067" s="63"/>
    </row>
    <row r="1068">
      <c r="A1068" s="64"/>
      <c r="E1068" s="33"/>
      <c r="F1068" s="63"/>
      <c r="G1068" s="63"/>
      <c r="H1068" s="63"/>
    </row>
    <row r="1069">
      <c r="A1069" s="64"/>
      <c r="E1069" s="33"/>
      <c r="F1069" s="63"/>
      <c r="G1069" s="63"/>
      <c r="H1069" s="63"/>
    </row>
    <row r="1070">
      <c r="A1070" s="64"/>
      <c r="E1070" s="33"/>
      <c r="F1070" s="63"/>
      <c r="G1070" s="63"/>
      <c r="H1070" s="63"/>
    </row>
    <row r="1071">
      <c r="A1071" s="64"/>
      <c r="E1071" s="33"/>
      <c r="F1071" s="63"/>
      <c r="G1071" s="63"/>
      <c r="H1071" s="63"/>
    </row>
    <row r="1072">
      <c r="A1072" s="64"/>
      <c r="E1072" s="33"/>
      <c r="F1072" s="63"/>
      <c r="G1072" s="63"/>
      <c r="H1072" s="63"/>
    </row>
    <row r="1073">
      <c r="A1073" s="64"/>
      <c r="E1073" s="33"/>
      <c r="F1073" s="63"/>
      <c r="G1073" s="63"/>
      <c r="H1073" s="63"/>
    </row>
    <row r="1074">
      <c r="A1074" s="64"/>
      <c r="E1074" s="33"/>
      <c r="F1074" s="63"/>
      <c r="G1074" s="63"/>
      <c r="H1074" s="63"/>
    </row>
    <row r="1075">
      <c r="A1075" s="64"/>
      <c r="E1075" s="33"/>
      <c r="F1075" s="63"/>
      <c r="G1075" s="63"/>
      <c r="H1075" s="63"/>
    </row>
    <row r="1076">
      <c r="A1076" s="64"/>
      <c r="E1076" s="33"/>
      <c r="F1076" s="63"/>
      <c r="G1076" s="63"/>
      <c r="H1076" s="63"/>
    </row>
    <row r="1077">
      <c r="A1077" s="64"/>
      <c r="E1077" s="33"/>
      <c r="F1077" s="63"/>
      <c r="G1077" s="63"/>
      <c r="H1077" s="63"/>
    </row>
    <row r="1078">
      <c r="A1078" s="64"/>
      <c r="E1078" s="33"/>
      <c r="F1078" s="63"/>
      <c r="G1078" s="63"/>
      <c r="H1078" s="63"/>
    </row>
    <row r="1079">
      <c r="A1079" s="64"/>
      <c r="E1079" s="33"/>
      <c r="F1079" s="63"/>
      <c r="G1079" s="63"/>
      <c r="H1079" s="63"/>
    </row>
    <row r="1080">
      <c r="A1080" s="64"/>
      <c r="E1080" s="33"/>
      <c r="F1080" s="63"/>
      <c r="G1080" s="63"/>
      <c r="H1080" s="63"/>
    </row>
    <row r="1081">
      <c r="A1081" s="64"/>
      <c r="E1081" s="33"/>
      <c r="F1081" s="63"/>
      <c r="G1081" s="63"/>
      <c r="H1081" s="63"/>
    </row>
    <row r="1082">
      <c r="A1082" s="64"/>
      <c r="E1082" s="33"/>
      <c r="F1082" s="63"/>
      <c r="G1082" s="63"/>
      <c r="H1082" s="63"/>
    </row>
    <row r="1083">
      <c r="A1083" s="64"/>
      <c r="E1083" s="33"/>
      <c r="F1083" s="63"/>
      <c r="G1083" s="63"/>
      <c r="H1083" s="63"/>
    </row>
    <row r="1084">
      <c r="A1084" s="64"/>
      <c r="E1084" s="33"/>
      <c r="F1084" s="63"/>
      <c r="G1084" s="63"/>
      <c r="H1084" s="63"/>
    </row>
    <row r="1085">
      <c r="A1085" s="64"/>
      <c r="E1085" s="33"/>
      <c r="F1085" s="63"/>
      <c r="G1085" s="63"/>
      <c r="H1085" s="63"/>
    </row>
    <row r="1086">
      <c r="A1086" s="64"/>
      <c r="E1086" s="33"/>
      <c r="F1086" s="63"/>
      <c r="G1086" s="63"/>
      <c r="H1086" s="63"/>
    </row>
    <row r="1087">
      <c r="A1087" s="64"/>
      <c r="E1087" s="33"/>
      <c r="F1087" s="63"/>
      <c r="G1087" s="63"/>
      <c r="H1087" s="63"/>
    </row>
    <row r="1088">
      <c r="A1088" s="64"/>
      <c r="E1088" s="33"/>
      <c r="F1088" s="63"/>
      <c r="G1088" s="63"/>
      <c r="H1088" s="63"/>
    </row>
    <row r="1089">
      <c r="A1089" s="64"/>
      <c r="E1089" s="33"/>
      <c r="F1089" s="63"/>
      <c r="G1089" s="63"/>
      <c r="H1089" s="63"/>
    </row>
  </sheetData>
  <mergeCells count="26">
    <mergeCell ref="A1:H1"/>
    <mergeCell ref="A2:H2"/>
    <mergeCell ref="A4:A23"/>
    <mergeCell ref="B4:B23"/>
    <mergeCell ref="A24:A43"/>
    <mergeCell ref="B24:B43"/>
    <mergeCell ref="B44:B63"/>
    <mergeCell ref="A44:A63"/>
    <mergeCell ref="A64:A83"/>
    <mergeCell ref="B64:B83"/>
    <mergeCell ref="A84:A103"/>
    <mergeCell ref="B84:B103"/>
    <mergeCell ref="A104:A123"/>
    <mergeCell ref="B104:B123"/>
    <mergeCell ref="A184:A203"/>
    <mergeCell ref="A204:A223"/>
    <mergeCell ref="A224:A247"/>
    <mergeCell ref="B204:B223"/>
    <mergeCell ref="B224:B247"/>
    <mergeCell ref="A124:A143"/>
    <mergeCell ref="B124:B143"/>
    <mergeCell ref="A144:A163"/>
    <mergeCell ref="B144:B163"/>
    <mergeCell ref="A164:A183"/>
    <mergeCell ref="B164:B183"/>
    <mergeCell ref="B184:B203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0.75"/>
    <col customWidth="1" min="2" max="2" width="25.63"/>
    <col customWidth="1" min="3" max="3" width="25.13"/>
    <col customWidth="1" min="6" max="6" width="38.5"/>
    <col customWidth="1" min="7" max="7" width="35.38"/>
    <col customWidth="1" min="8" max="8" width="38.13"/>
  </cols>
  <sheetData>
    <row r="1">
      <c r="A1" s="12" t="s">
        <v>19</v>
      </c>
    </row>
    <row r="2">
      <c r="A2" s="13" t="s">
        <v>219</v>
      </c>
    </row>
    <row r="3">
      <c r="A3" s="14" t="s">
        <v>220</v>
      </c>
      <c r="B3" s="14" t="s">
        <v>22</v>
      </c>
      <c r="C3" s="14" t="s">
        <v>23</v>
      </c>
      <c r="D3" s="14" t="s">
        <v>24</v>
      </c>
      <c r="E3" s="14" t="s">
        <v>25</v>
      </c>
      <c r="F3" s="14" t="s">
        <v>26</v>
      </c>
      <c r="G3" s="14" t="s">
        <v>27</v>
      </c>
      <c r="H3" s="14" t="s">
        <v>28</v>
      </c>
    </row>
    <row r="4">
      <c r="A4" s="15" t="s">
        <v>221</v>
      </c>
      <c r="B4" s="15" t="s">
        <v>222</v>
      </c>
      <c r="C4" s="20" t="s">
        <v>148</v>
      </c>
      <c r="D4" s="21" t="str">
        <f>IFERROR(__xludf.DUMMYFUNCTION("IFNA(
IF(
VLOOKUP(C4,IMPORTRANGE(""https://docs.google.com/spreadsheets/d/1rG8iy-kKSFDxhVaU60GJ2bpXc8tZqI1bT8U0Ac0DWTU/edit?usp=sharing"",""REGISTRATION!C:X""),22,FALSE)
=""I qualify for Free and Reduced Lunch and WOULD like lunch to be provided for my ch"&amp;"ild."",
""Yes"",
""""
),
""""
)"),"")</f>
        <v/>
      </c>
      <c r="E4" s="22" t="str">
        <f>IFERROR(__xludf.DUMMYFUNCTION("IFNA(
IF(
VLOOKUP(C4,IMPORTRANGE(""https://docs.google.com/spreadsheets/d/1rG8iy-kKSFDxhVaU60GJ2bpXc8tZqI1bT8U0Ac0DWTU/edit?usp=sharing"",""REGISTRATION!C:AB""),26,FALSE)
=""No"",
""No Candy"",
""""
),
""""
)"),"")</f>
        <v/>
      </c>
      <c r="F4" s="21" t="str">
        <f>IFERROR(__xludf.DUMMYFUNCTION("IFNA(VLOOKUP(C4,IMPORTRANGE(""https://docs.google.com/spreadsheets/d/1rG8iy-kKSFDxhVaU60GJ2bpXc8tZqI1bT8U0Ac0DWTU/edit?usp=sharing"",""REGISTRATION!C:V""),18,FALSE),"""")"),"None")</f>
        <v>None</v>
      </c>
      <c r="G4" s="21" t="str">
        <f>IFERROR(__xludf.DUMMYFUNCTION("IFNA(VLOOKUP(C4,IMPORTRANGE(""https://docs.google.com/spreadsheets/d/1rG8iy-kKSFDxhVaU60GJ2bpXc8tZqI1bT8U0Ac0DWTU/edit?usp=sharing"",""REGISTRATION!C:V""),20,FALSE),"""")"),"")</f>
        <v/>
      </c>
      <c r="H4" s="21" t="str">
        <f>IFERROR(__xludf.DUMMYFUNCTION("IFNA(VLOOKUP(C4,IMPORTRANGE(""https://docs.google.com/spreadsheets/d/1rG8iy-kKSFDxhVaU60GJ2bpXc8tZqI1bT8U0Ac0DWTU/edit?usp=sharing"",""REGISTRATION!C:V""),19,FALSE),"""")"),"None")</f>
        <v>None</v>
      </c>
    </row>
    <row r="5">
      <c r="C5" s="20" t="s">
        <v>223</v>
      </c>
      <c r="D5" s="21" t="str">
        <f>IFERROR(__xludf.DUMMYFUNCTION("IFNA(
IF(
VLOOKUP(C5,IMPORTRANGE(""https://docs.google.com/spreadsheets/d/1rG8iy-kKSFDxhVaU60GJ2bpXc8tZqI1bT8U0Ac0DWTU/edit?usp=sharing"",""REGISTRATION!C:X""),22,FALSE)
=""I qualify for Free and Reduced Lunch and WOULD like lunch to be provided for my ch"&amp;"ild."",
""Yes"",
""""
),
""""
)"),"")</f>
        <v/>
      </c>
      <c r="E5" s="22" t="str">
        <f>IFERROR(__xludf.DUMMYFUNCTION("IFNA(
IF(
VLOOKUP(C5,IMPORTRANGE(""https://docs.google.com/spreadsheets/d/1rG8iy-kKSFDxhVaU60GJ2bpXc8tZqI1bT8U0Ac0DWTU/edit?usp=sharing"",""REGISTRATION!C:AB""),26,FALSE)
=""No"",
""No Candy"",
""""
),
""""
)"),"")</f>
        <v/>
      </c>
      <c r="F5" s="21" t="str">
        <f>IFERROR(__xludf.DUMMYFUNCTION("IFNA(VLOOKUP(C5,IMPORTRANGE(""https://docs.google.com/spreadsheets/d/1rG8iy-kKSFDxhVaU60GJ2bpXc8tZqI1bT8U0Ac0DWTU/edit?usp=sharing"",""REGISTRATION!C:V""),18,FALSE),"""")"),"None")</f>
        <v>None</v>
      </c>
      <c r="G5" s="21" t="str">
        <f>IFERROR(__xludf.DUMMYFUNCTION("IFNA(VLOOKUP(C5,IMPORTRANGE(""https://docs.google.com/spreadsheets/d/1rG8iy-kKSFDxhVaU60GJ2bpXc8tZqI1bT8U0Ac0DWTU/edit?usp=sharing"",""REGISTRATION!C:V""),20,FALSE),"""")"),"")</f>
        <v/>
      </c>
      <c r="H5" s="21" t="str">
        <f>IFERROR(__xludf.DUMMYFUNCTION("IFNA(VLOOKUP(C5,IMPORTRANGE(""https://docs.google.com/spreadsheets/d/1rG8iy-kKSFDxhVaU60GJ2bpXc8tZqI1bT8U0Ac0DWTU/edit?usp=sharing"",""REGISTRATION!C:V""),19,FALSE),"""")"),"None")</f>
        <v>None</v>
      </c>
    </row>
    <row r="6">
      <c r="C6" s="20" t="s">
        <v>224</v>
      </c>
      <c r="D6" s="21" t="str">
        <f>IFERROR(__xludf.DUMMYFUNCTION("IFNA(
IF(
VLOOKUP(C6,IMPORTRANGE(""https://docs.google.com/spreadsheets/d/1rG8iy-kKSFDxhVaU60GJ2bpXc8tZqI1bT8U0Ac0DWTU/edit?usp=sharing"",""REGISTRATION!C:X""),22,FALSE)
=""I qualify for Free and Reduced Lunch and WOULD like lunch to be provided for my ch"&amp;"ild."",
""Yes"",
""""
),
""""
)"),"")</f>
        <v/>
      </c>
      <c r="E6" s="22" t="str">
        <f>IFERROR(__xludf.DUMMYFUNCTION("IFNA(
IF(
VLOOKUP(C6,IMPORTRANGE(""https://docs.google.com/spreadsheets/d/1rG8iy-kKSFDxhVaU60GJ2bpXc8tZqI1bT8U0Ac0DWTU/edit?usp=sharing"",""REGISTRATION!C:AB""),26,FALSE)
=""No"",
""No Candy"",
""""
),
""""
)"),"")</f>
        <v/>
      </c>
      <c r="F6" s="21" t="str">
        <f>IFERROR(__xludf.DUMMYFUNCTION("IFNA(VLOOKUP(C6,IMPORTRANGE(""https://docs.google.com/spreadsheets/d/1rG8iy-kKSFDxhVaU60GJ2bpXc8tZqI1bT8U0Ac0DWTU/edit?usp=sharing"",""REGISTRATION!C:V""),18,FALSE),"""")"),"None")</f>
        <v>None</v>
      </c>
      <c r="G6" s="21" t="str">
        <f>IFERROR(__xludf.DUMMYFUNCTION("IFNA(VLOOKUP(C6,IMPORTRANGE(""https://docs.google.com/spreadsheets/d/1rG8iy-kKSFDxhVaU60GJ2bpXc8tZqI1bT8U0Ac0DWTU/edit?usp=sharing"",""REGISTRATION!C:V""),20,FALSE),"""")"),"")</f>
        <v/>
      </c>
      <c r="H6" s="21" t="str">
        <f>IFERROR(__xludf.DUMMYFUNCTION("IFNA(VLOOKUP(C6,IMPORTRANGE(""https://docs.google.com/spreadsheets/d/1rG8iy-kKSFDxhVaU60GJ2bpXc8tZqI1bT8U0Ac0DWTU/edit?usp=sharing"",""REGISTRATION!C:V""),19,FALSE),"""")"),"None")</f>
        <v>None</v>
      </c>
    </row>
    <row r="7">
      <c r="C7" s="20" t="s">
        <v>225</v>
      </c>
      <c r="D7" s="21" t="str">
        <f>IFERROR(__xludf.DUMMYFUNCTION("IFNA(
IF(
VLOOKUP(C7,IMPORTRANGE(""https://docs.google.com/spreadsheets/d/1rG8iy-kKSFDxhVaU60GJ2bpXc8tZqI1bT8U0Ac0DWTU/edit?usp=sharing"",""REGISTRATION!C:X""),22,FALSE)
=""I qualify for Free and Reduced Lunch and WOULD like lunch to be provided for my ch"&amp;"ild."",
""Yes"",
""""
),
""""
)"),"")</f>
        <v/>
      </c>
      <c r="E7" s="22" t="str">
        <f>IFERROR(__xludf.DUMMYFUNCTION("IFNA(
IF(
VLOOKUP(C7,IMPORTRANGE(""https://docs.google.com/spreadsheets/d/1rG8iy-kKSFDxhVaU60GJ2bpXc8tZqI1bT8U0Ac0DWTU/edit?usp=sharing"",""REGISTRATION!C:AB""),26,FALSE)
=""No"",
""No Candy"",
""""
),
""""
)"),"")</f>
        <v/>
      </c>
      <c r="F7" s="21" t="str">
        <f>IFERROR(__xludf.DUMMYFUNCTION("IFNA(VLOOKUP(C7,IMPORTRANGE(""https://docs.google.com/spreadsheets/d/1rG8iy-kKSFDxhVaU60GJ2bpXc8tZqI1bT8U0Ac0DWTU/edit?usp=sharing"",""REGISTRATION!C:V""),18,FALSE),"""")"),"None")</f>
        <v>None</v>
      </c>
      <c r="G7" s="21" t="str">
        <f>IFERROR(__xludf.DUMMYFUNCTION("IFNA(VLOOKUP(C7,IMPORTRANGE(""https://docs.google.com/spreadsheets/d/1rG8iy-kKSFDxhVaU60GJ2bpXc8tZqI1bT8U0Ac0DWTU/edit?usp=sharing"",""REGISTRATION!C:V""),20,FALSE),"""")"),"")</f>
        <v/>
      </c>
      <c r="H7" s="21" t="str">
        <f>IFERROR(__xludf.DUMMYFUNCTION("IFNA(VLOOKUP(C7,IMPORTRANGE(""https://docs.google.com/spreadsheets/d/1rG8iy-kKSFDxhVaU60GJ2bpXc8tZqI1bT8U0Ac0DWTU/edit?usp=sharing"",""REGISTRATION!C:V""),19,FALSE),"""")"),"None")</f>
        <v>None</v>
      </c>
    </row>
    <row r="8">
      <c r="C8" s="20" t="s">
        <v>47</v>
      </c>
      <c r="D8" s="21" t="str">
        <f>IFERROR(__xludf.DUMMYFUNCTION("IFNA(
IF(
VLOOKUP(C8,IMPORTRANGE(""https://docs.google.com/spreadsheets/d/1rG8iy-kKSFDxhVaU60GJ2bpXc8tZqI1bT8U0Ac0DWTU/edit?usp=sharing"",""REGISTRATION!C:X""),22,FALSE)
=""I qualify for Free and Reduced Lunch and WOULD like lunch to be provided for my ch"&amp;"ild."",
""Yes"",
""""
),
""""
)"),"")</f>
        <v/>
      </c>
      <c r="E8" s="22" t="str">
        <f>IFERROR(__xludf.DUMMYFUNCTION("IFNA(
IF(
VLOOKUP(C8,IMPORTRANGE(""https://docs.google.com/spreadsheets/d/1rG8iy-kKSFDxhVaU60GJ2bpXc8tZqI1bT8U0Ac0DWTU/edit?usp=sharing"",""REGISTRATION!C:AB""),26,FALSE)
=""No"",
""No Candy"",
""""
),
""""
)"),"")</f>
        <v/>
      </c>
      <c r="F8" s="21" t="str">
        <f>IFERROR(__xludf.DUMMYFUNCTION("IFNA(VLOOKUP(C8,IMPORTRANGE(""https://docs.google.com/spreadsheets/d/1rG8iy-kKSFDxhVaU60GJ2bpXc8tZqI1bT8U0Ac0DWTU/edit?usp=sharing"",""REGISTRATION!C:V""),18,FALSE),"""")"),"None")</f>
        <v>None</v>
      </c>
      <c r="G8" s="21" t="str">
        <f>IFERROR(__xludf.DUMMYFUNCTION("IFNA(VLOOKUP(C8,IMPORTRANGE(""https://docs.google.com/spreadsheets/d/1rG8iy-kKSFDxhVaU60GJ2bpXc8tZqI1bT8U0Ac0DWTU/edit?usp=sharing"",""REGISTRATION!C:V""),20,FALSE),"""")"),"")</f>
        <v/>
      </c>
      <c r="H8" s="21" t="str">
        <f>IFERROR(__xludf.DUMMYFUNCTION("IFNA(VLOOKUP(C8,IMPORTRANGE(""https://docs.google.com/spreadsheets/d/1rG8iy-kKSFDxhVaU60GJ2bpXc8tZqI1bT8U0Ac0DWTU/edit?usp=sharing"",""REGISTRATION!C:V""),19,FALSE),"""")"),"None")</f>
        <v>None</v>
      </c>
    </row>
    <row r="9">
      <c r="C9" s="20" t="s">
        <v>226</v>
      </c>
      <c r="D9" s="21" t="str">
        <f>IFERROR(__xludf.DUMMYFUNCTION("IFNA(
IF(
VLOOKUP(C9,IMPORTRANGE(""https://docs.google.com/spreadsheets/d/1rG8iy-kKSFDxhVaU60GJ2bpXc8tZqI1bT8U0Ac0DWTU/edit?usp=sharing"",""REGISTRATION!C:X""),22,FALSE)
=""I qualify for Free and Reduced Lunch and WOULD like lunch to be provided for my ch"&amp;"ild."",
""Yes"",
""""
),
""""
)"),"")</f>
        <v/>
      </c>
      <c r="E9" s="22" t="str">
        <f>IFERROR(__xludf.DUMMYFUNCTION("IFNA(
IF(
VLOOKUP(C9,IMPORTRANGE(""https://docs.google.com/spreadsheets/d/1rG8iy-kKSFDxhVaU60GJ2bpXc8tZqI1bT8U0Ac0DWTU/edit?usp=sharing"",""REGISTRATION!C:AB""),26,FALSE)
=""No"",
""No Candy"",
""""
),
""""
)"),"")</f>
        <v/>
      </c>
      <c r="F9" s="21" t="str">
        <f>IFERROR(__xludf.DUMMYFUNCTION("IFNA(VLOOKUP(C9,IMPORTRANGE(""https://docs.google.com/spreadsheets/d/1rG8iy-kKSFDxhVaU60GJ2bpXc8tZqI1bT8U0Ac0DWTU/edit?usp=sharing"",""REGISTRATION!C:V""),18,FALSE),"""")"),"None")</f>
        <v>None</v>
      </c>
      <c r="G9" s="21" t="str">
        <f>IFERROR(__xludf.DUMMYFUNCTION("IFNA(VLOOKUP(C9,IMPORTRANGE(""https://docs.google.com/spreadsheets/d/1rG8iy-kKSFDxhVaU60GJ2bpXc8tZqI1bT8U0Ac0DWTU/edit?usp=sharing"",""REGISTRATION!C:V""),20,FALSE),"""")"),"")</f>
        <v/>
      </c>
      <c r="H9" s="21" t="str">
        <f>IFERROR(__xludf.DUMMYFUNCTION("IFNA(VLOOKUP(C9,IMPORTRANGE(""https://docs.google.com/spreadsheets/d/1rG8iy-kKSFDxhVaU60GJ2bpXc8tZqI1bT8U0Ac0DWTU/edit?usp=sharing"",""REGISTRATION!C:V""),19,FALSE),"""")"),"None")</f>
        <v>None</v>
      </c>
    </row>
    <row r="10">
      <c r="C10" s="20" t="s">
        <v>227</v>
      </c>
      <c r="D10" s="21" t="str">
        <f>IFERROR(__xludf.DUMMYFUNCTION("IFNA(
IF(
VLOOKUP(C10,IMPORTRANGE(""https://docs.google.com/spreadsheets/d/1rG8iy-kKSFDxhVaU60GJ2bpXc8tZqI1bT8U0Ac0DWTU/edit?usp=sharing"",""REGISTRATION!C:X""),22,FALSE)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10" s="22" t="str">
        <f>IFERROR(__xludf.DUMMYFUNCTION("IFNA(
IF(
VLOOKUP(C10,IMPORTRANGE(""https://docs.google.com/spreadsheets/d/1rG8iy-kKSFDxhVaU60GJ2bpXc8tZqI1bT8U0Ac0DWTU/edit?usp=sharing"",""REGISTRATION!C:AB""),26,FALSE)
=""No"",
""No Candy"",
""""
),
""""
)"),"")</f>
        <v/>
      </c>
      <c r="F10" s="21" t="str">
        <f>IFERROR(__xludf.DUMMYFUNCTION("IFNA(VLOOKUP(C10,IMPORTRANGE(""https://docs.google.com/spreadsheets/d/1rG8iy-kKSFDxhVaU60GJ2bpXc8tZqI1bT8U0Ac0DWTU/edit?usp=sharing"",""REGISTRATION!C:V""),18,FALSE),"""")"),"None")</f>
        <v>None</v>
      </c>
      <c r="G10" s="21" t="str">
        <f>IFERROR(__xludf.DUMMYFUNCTION("IFNA(VLOOKUP(C10,IMPORTRANGE(""https://docs.google.com/spreadsheets/d/1rG8iy-kKSFDxhVaU60GJ2bpXc8tZqI1bT8U0Ac0DWTU/edit?usp=sharing"",""REGISTRATION!C:V""),20,FALSE),"""")"),"")</f>
        <v/>
      </c>
      <c r="H10" s="21" t="str">
        <f>IFERROR(__xludf.DUMMYFUNCTION("IFNA(VLOOKUP(C10,IMPORTRANGE(""https://docs.google.com/spreadsheets/d/1rG8iy-kKSFDxhVaU60GJ2bpXc8tZqI1bT8U0Ac0DWTU/edit?usp=sharing"",""REGISTRATION!C:V""),19,FALSE),"""")"),"None")</f>
        <v>None</v>
      </c>
    </row>
    <row r="11">
      <c r="C11" s="20" t="s">
        <v>150</v>
      </c>
      <c r="D11" s="21" t="str">
        <f>IFERROR(__xludf.DUMMYFUNCTION("IFNA(
IF(
VLOOKUP(C11,IMPORTRANGE(""https://docs.google.com/spreadsheets/d/1rG8iy-kKSFDxhVaU60GJ2bpXc8tZqI1bT8U0Ac0DWTU/edit?usp=sharing"",""REGISTRATION!C:X""),22,FALSE)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11" s="22" t="str">
        <f>IFERROR(__xludf.DUMMYFUNCTION("IFNA(
IF(
VLOOKUP(C11,IMPORTRANGE(""https://docs.google.com/spreadsheets/d/1rG8iy-kKSFDxhVaU60GJ2bpXc8tZqI1bT8U0Ac0DWTU/edit?usp=sharing"",""REGISTRATION!C:AB""),26,FALSE)
=""No"",
""No Candy"",
""""
),
""""
)"),"")</f>
        <v/>
      </c>
      <c r="F11" s="21" t="str">
        <f>IFERROR(__xludf.DUMMYFUNCTION("IFNA(VLOOKUP(C11,IMPORTRANGE(""https://docs.google.com/spreadsheets/d/1rG8iy-kKSFDxhVaU60GJ2bpXc8tZqI1bT8U0Ac0DWTU/edit?usp=sharing"",""REGISTRATION!C:V""),18,FALSE),"""")"),"Halal")</f>
        <v>Halal</v>
      </c>
      <c r="G11" s="21" t="str">
        <f>IFERROR(__xludf.DUMMYFUNCTION("IFNA(VLOOKUP(C11,IMPORTRANGE(""https://docs.google.com/spreadsheets/d/1rG8iy-kKSFDxhVaU60GJ2bpXc8tZqI1bT8U0Ac0DWTU/edit?usp=sharing"",""REGISTRATION!C:V""),20,FALSE),"""")"),"")</f>
        <v/>
      </c>
      <c r="H11" s="21" t="str">
        <f>IFERROR(__xludf.DUMMYFUNCTION("IFNA(VLOOKUP(C11,IMPORTRANGE(""https://docs.google.com/spreadsheets/d/1rG8iy-kKSFDxhVaU60GJ2bpXc8tZqI1bT8U0Ac0DWTU/edit?usp=sharing"",""REGISTRATION!C:V""),19,FALSE),"""")"),"None")</f>
        <v>None</v>
      </c>
    </row>
    <row r="12">
      <c r="C12" s="20" t="s">
        <v>151</v>
      </c>
      <c r="D12" s="21" t="str">
        <f>IFERROR(__xludf.DUMMYFUNCTION("IFNA(
IF(
VLOOKUP(C12,IMPORTRANGE(""https://docs.google.com/spreadsheets/d/1rG8iy-kKSFDxhVaU60GJ2bpXc8tZqI1bT8U0Ac0DWTU/edit?usp=sharing"",""REGISTRATION!C:X""),22,FALSE)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12" s="22" t="str">
        <f>IFERROR(__xludf.DUMMYFUNCTION("IFNA(
IF(
VLOOKUP(C12,IMPORTRANGE(""https://docs.google.com/spreadsheets/d/1rG8iy-kKSFDxhVaU60GJ2bpXc8tZqI1bT8U0Ac0DWTU/edit?usp=sharing"",""REGISTRATION!C:AB""),26,FALSE)
=""No"",
""No Candy"",
""""
),
""""
)"),"")</f>
        <v/>
      </c>
      <c r="F12" s="21" t="str">
        <f>IFERROR(__xludf.DUMMYFUNCTION("IFNA(VLOOKUP(C12,IMPORTRANGE(""https://docs.google.com/spreadsheets/d/1rG8iy-kKSFDxhVaU60GJ2bpXc8tZqI1bT8U0Ac0DWTU/edit?usp=sharing"",""REGISTRATION!C:V""),18,FALSE),"""")"),"None")</f>
        <v>None</v>
      </c>
      <c r="G12" s="21" t="str">
        <f>IFERROR(__xludf.DUMMYFUNCTION("IFNA(VLOOKUP(C12,IMPORTRANGE(""https://docs.google.com/spreadsheets/d/1rG8iy-kKSFDxhVaU60GJ2bpXc8tZqI1bT8U0Ac0DWTU/edit?usp=sharing"",""REGISTRATION!C:V""),20,FALSE),"""")"),"")</f>
        <v/>
      </c>
      <c r="H12" s="21" t="str">
        <f>IFERROR(__xludf.DUMMYFUNCTION("IFNA(VLOOKUP(C12,IMPORTRANGE(""https://docs.google.com/spreadsheets/d/1rG8iy-kKSFDxhVaU60GJ2bpXc8tZqI1bT8U0Ac0DWTU/edit?usp=sharing"",""REGISTRATION!C:V""),19,FALSE),"""")"),"None")</f>
        <v>None</v>
      </c>
    </row>
    <row r="13">
      <c r="C13" s="20" t="s">
        <v>228</v>
      </c>
      <c r="D13" s="21" t="str">
        <f>IFERROR(__xludf.DUMMYFUNCTION("IFNA(
IF(
VLOOKUP(C13,IMPORTRANGE(""https://docs.google.com/spreadsheets/d/1rG8iy-kKSFDxhVaU60GJ2bpXc8tZqI1bT8U0Ac0DWTU/edit?usp=sharing"",""REGISTRATION!C:X""),22,FALSE)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13" s="22" t="str">
        <f>IFERROR(__xludf.DUMMYFUNCTION("IFNA(
IF(
VLOOKUP(C13,IMPORTRANGE(""https://docs.google.com/spreadsheets/d/1rG8iy-kKSFDxhVaU60GJ2bpXc8tZqI1bT8U0Ac0DWTU/edit?usp=sharing"",""REGISTRATION!C:AB""),26,FALSE)
=""No"",
""No Candy"",
""""
),
""""
)"),"")</f>
        <v/>
      </c>
      <c r="F13" s="21" t="str">
        <f>IFERROR(__xludf.DUMMYFUNCTION("IFNA(VLOOKUP(C13,IMPORTRANGE(""https://docs.google.com/spreadsheets/d/1rG8iy-kKSFDxhVaU60GJ2bpXc8tZqI1bT8U0Ac0DWTU/edit?usp=sharing"",""REGISTRATION!C:V""),18,FALSE),"""")"),"None")</f>
        <v>None</v>
      </c>
      <c r="G13" s="21" t="str">
        <f>IFERROR(__xludf.DUMMYFUNCTION("IFNA(VLOOKUP(C13,IMPORTRANGE(""https://docs.google.com/spreadsheets/d/1rG8iy-kKSFDxhVaU60GJ2bpXc8tZqI1bT8U0Ac0DWTU/edit?usp=sharing"",""REGISTRATION!C:V""),20,FALSE),"""")"),"")</f>
        <v/>
      </c>
      <c r="H13" s="21" t="str">
        <f>IFERROR(__xludf.DUMMYFUNCTION("IFNA(VLOOKUP(C13,IMPORTRANGE(""https://docs.google.com/spreadsheets/d/1rG8iy-kKSFDxhVaU60GJ2bpXc8tZqI1bT8U0Ac0DWTU/edit?usp=sharing"",""REGISTRATION!C:V""),19,FALSE),"""")"),"None")</f>
        <v>None</v>
      </c>
    </row>
    <row r="14">
      <c r="C14" s="20"/>
      <c r="D14" s="21" t="str">
        <f>IFERROR(__xludf.DUMMYFUNCTION("IFNA(
IF(
VLOOKUP(C14,IMPORTRANGE(""https://docs.google.com/spreadsheets/d/1rG8iy-kKSFDxhVaU60GJ2bpXc8tZqI1bT8U0Ac0DWTU/edit?usp=sharing"",""REGISTRATION!C:X""),22,FALSE)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14" s="22" t="str">
        <f>IFERROR(__xludf.DUMMYFUNCTION("IFNA(
IF(
VLOOKUP(C14,IMPORTRANGE(""https://docs.google.com/spreadsheets/d/1rG8iy-kKSFDxhVaU60GJ2bpXc8tZqI1bT8U0Ac0DWTU/edit?usp=sharing"",""REGISTRATION!C:AB""),26,FALSE)
=""No"",
""No Candy"",
""""
),
""""
)"),"")</f>
        <v/>
      </c>
      <c r="F14" s="21" t="str">
        <f>IFERROR(__xludf.DUMMYFUNCTION("IFNA(VLOOKUP(C14,IMPORTRANGE(""https://docs.google.com/spreadsheets/d/1rG8iy-kKSFDxhVaU60GJ2bpXc8tZqI1bT8U0Ac0DWTU/edit?usp=sharing"",""REGISTRATION!C:V""),18,FALSE),"""")"),"")</f>
        <v/>
      </c>
      <c r="G14" s="21" t="str">
        <f>IFERROR(__xludf.DUMMYFUNCTION("IFNA(VLOOKUP(C14,IMPORTRANGE(""https://docs.google.com/spreadsheets/d/1rG8iy-kKSFDxhVaU60GJ2bpXc8tZqI1bT8U0Ac0DWTU/edit?usp=sharing"",""REGISTRATION!C:V""),20,FALSE),"""")"),"")</f>
        <v/>
      </c>
      <c r="H14" s="21" t="str">
        <f>IFERROR(__xludf.DUMMYFUNCTION("IFNA(VLOOKUP(C14,IMPORTRANGE(""https://docs.google.com/spreadsheets/d/1rG8iy-kKSFDxhVaU60GJ2bpXc8tZqI1bT8U0Ac0DWTU/edit?usp=sharing"",""REGISTRATION!C:V""),19,FALSE),"""")"),"")</f>
        <v/>
      </c>
    </row>
    <row r="15">
      <c r="C15" s="20"/>
      <c r="D15" s="21" t="str">
        <f>IFERROR(__xludf.DUMMYFUNCTION("IFNA(
IF(
VLOOKUP(C15,IMPORTRANGE(""https://docs.google.com/spreadsheets/d/1rG8iy-kKSFDxhVaU60GJ2bpXc8tZqI1bT8U0Ac0DWTU/edit?usp=sharing"",""REGISTRATION!C:X""),22,FALSE)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15" s="22" t="str">
        <f>IFERROR(__xludf.DUMMYFUNCTION("IFNA(
IF(
VLOOKUP(C15,IMPORTRANGE(""https://docs.google.com/spreadsheets/d/1rG8iy-kKSFDxhVaU60GJ2bpXc8tZqI1bT8U0Ac0DWTU/edit?usp=sharing"",""REGISTRATION!C:AB""),26,FALSE)
=""No"",
""No Candy"",
""""
),
""""
)"),"")</f>
        <v/>
      </c>
      <c r="F15" s="21" t="str">
        <f>IFERROR(__xludf.DUMMYFUNCTION("IFNA(VLOOKUP(C15,IMPORTRANGE(""https://docs.google.com/spreadsheets/d/1rG8iy-kKSFDxhVaU60GJ2bpXc8tZqI1bT8U0Ac0DWTU/edit?usp=sharing"",""REGISTRATION!C:V""),18,FALSE),"""")"),"")</f>
        <v/>
      </c>
      <c r="G15" s="21" t="str">
        <f>IFERROR(__xludf.DUMMYFUNCTION("IFNA(VLOOKUP(C15,IMPORTRANGE(""https://docs.google.com/spreadsheets/d/1rG8iy-kKSFDxhVaU60GJ2bpXc8tZqI1bT8U0Ac0DWTU/edit?usp=sharing"",""REGISTRATION!C:V""),20,FALSE),"""")"),"")</f>
        <v/>
      </c>
      <c r="H15" s="21" t="str">
        <f>IFERROR(__xludf.DUMMYFUNCTION("IFNA(VLOOKUP(C15,IMPORTRANGE(""https://docs.google.com/spreadsheets/d/1rG8iy-kKSFDxhVaU60GJ2bpXc8tZqI1bT8U0Ac0DWTU/edit?usp=sharing"",""REGISTRATION!C:V""),19,FALSE),"""")"),"")</f>
        <v/>
      </c>
    </row>
    <row r="16">
      <c r="C16" s="20"/>
      <c r="D16" s="21" t="str">
        <f>IFERROR(__xludf.DUMMYFUNCTION("IFNA(
IF(
VLOOKUP(C16,IMPORTRANGE(""https://docs.google.com/spreadsheets/d/1rG8iy-kKSFDxhVaU60GJ2bpXc8tZqI1bT8U0Ac0DWTU/edit?usp=sharing"",""REGISTRATION!C:X""),22,FALSE)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16" s="22" t="str">
        <f>IFERROR(__xludf.DUMMYFUNCTION("IFNA(
IF(
VLOOKUP(C16,IMPORTRANGE(""https://docs.google.com/spreadsheets/d/1rG8iy-kKSFDxhVaU60GJ2bpXc8tZqI1bT8U0Ac0DWTU/edit?usp=sharing"",""REGISTRATION!C:AB""),26,FALSE)
=""No"",
""No Candy"",
""""
),
""""
)"),"")</f>
        <v/>
      </c>
      <c r="F16" s="21" t="str">
        <f>IFERROR(__xludf.DUMMYFUNCTION("IFNA(VLOOKUP(C16,IMPORTRANGE(""https://docs.google.com/spreadsheets/d/1rG8iy-kKSFDxhVaU60GJ2bpXc8tZqI1bT8U0Ac0DWTU/edit?usp=sharing"",""REGISTRATION!C:V""),18,FALSE),"""")"),"")</f>
        <v/>
      </c>
      <c r="G16" s="21" t="str">
        <f>IFERROR(__xludf.DUMMYFUNCTION("IFNA(VLOOKUP(C16,IMPORTRANGE(""https://docs.google.com/spreadsheets/d/1rG8iy-kKSFDxhVaU60GJ2bpXc8tZqI1bT8U0Ac0DWTU/edit?usp=sharing"",""REGISTRATION!C:V""),20,FALSE),"""")"),"")</f>
        <v/>
      </c>
      <c r="H16" s="21" t="str">
        <f>IFERROR(__xludf.DUMMYFUNCTION("IFNA(VLOOKUP(C16,IMPORTRANGE(""https://docs.google.com/spreadsheets/d/1rG8iy-kKSFDxhVaU60GJ2bpXc8tZqI1bT8U0Ac0DWTU/edit?usp=sharing"",""REGISTRATION!C:V""),19,FALSE),"""")"),"")</f>
        <v/>
      </c>
    </row>
    <row r="17">
      <c r="C17" s="20"/>
      <c r="D17" s="21" t="str">
        <f>IFERROR(__xludf.DUMMYFUNCTION("IFNA(
IF(
VLOOKUP(C17,IMPORTRANGE(""https://docs.google.com/spreadsheets/d/1rG8iy-kKSFDxhVaU60GJ2bpXc8tZqI1bT8U0Ac0DWTU/edit?usp=sharing"",""REGISTRATION!C:X""),22,FALSE)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17" s="22" t="str">
        <f>IFERROR(__xludf.DUMMYFUNCTION("IFNA(
IF(
VLOOKUP(C17,IMPORTRANGE(""https://docs.google.com/spreadsheets/d/1rG8iy-kKSFDxhVaU60GJ2bpXc8tZqI1bT8U0Ac0DWTU/edit?usp=sharing"",""REGISTRATION!C:AB""),26,FALSE)
=""No"",
""No Candy"",
""""
),
""""
)"),"")</f>
        <v/>
      </c>
      <c r="F17" s="21" t="str">
        <f>IFERROR(__xludf.DUMMYFUNCTION("IFNA(VLOOKUP(C17,IMPORTRANGE(""https://docs.google.com/spreadsheets/d/1rG8iy-kKSFDxhVaU60GJ2bpXc8tZqI1bT8U0Ac0DWTU/edit?usp=sharing"",""REGISTRATION!C:V""),18,FALSE),"""")"),"")</f>
        <v/>
      </c>
      <c r="G17" s="21" t="str">
        <f>IFERROR(__xludf.DUMMYFUNCTION("IFNA(VLOOKUP(C17,IMPORTRANGE(""https://docs.google.com/spreadsheets/d/1rG8iy-kKSFDxhVaU60GJ2bpXc8tZqI1bT8U0Ac0DWTU/edit?usp=sharing"",""REGISTRATION!C:V""),20,FALSE),"""")"),"")</f>
        <v/>
      </c>
      <c r="H17" s="21" t="str">
        <f>IFERROR(__xludf.DUMMYFUNCTION("IFNA(VLOOKUP(C17,IMPORTRANGE(""https://docs.google.com/spreadsheets/d/1rG8iy-kKSFDxhVaU60GJ2bpXc8tZqI1bT8U0Ac0DWTU/edit?usp=sharing"",""REGISTRATION!C:V""),19,FALSE),"""")"),"")</f>
        <v/>
      </c>
    </row>
    <row r="18">
      <c r="C18" s="20"/>
      <c r="D18" s="21" t="str">
        <f>IFERROR(__xludf.DUMMYFUNCTION("IFNA(
IF(
VLOOKUP(C18,IMPORTRANGE(""https://docs.google.com/spreadsheets/d/1rG8iy-kKSFDxhVaU60GJ2bpXc8tZqI1bT8U0Ac0DWTU/edit?usp=sharing"",""REGISTRATION!C:X""),22,FALSE)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18" s="22" t="str">
        <f>IFERROR(__xludf.DUMMYFUNCTION("IFNA(
IF(
VLOOKUP(C18,IMPORTRANGE(""https://docs.google.com/spreadsheets/d/1rG8iy-kKSFDxhVaU60GJ2bpXc8tZqI1bT8U0Ac0DWTU/edit?usp=sharing"",""REGISTRATION!C:AB""),26,FALSE)
=""No"",
""No Candy"",
""""
),
""""
)"),"")</f>
        <v/>
      </c>
      <c r="F18" s="21" t="str">
        <f>IFERROR(__xludf.DUMMYFUNCTION("IFNA(VLOOKUP(C18,IMPORTRANGE(""https://docs.google.com/spreadsheets/d/1rG8iy-kKSFDxhVaU60GJ2bpXc8tZqI1bT8U0Ac0DWTU/edit?usp=sharing"",""REGISTRATION!C:V""),18,FALSE),"""")"),"")</f>
        <v/>
      </c>
      <c r="G18" s="21" t="str">
        <f>IFERROR(__xludf.DUMMYFUNCTION("IFNA(VLOOKUP(C18,IMPORTRANGE(""https://docs.google.com/spreadsheets/d/1rG8iy-kKSFDxhVaU60GJ2bpXc8tZqI1bT8U0Ac0DWTU/edit?usp=sharing"",""REGISTRATION!C:V""),20,FALSE),"""")"),"")</f>
        <v/>
      </c>
      <c r="H18" s="21" t="str">
        <f>IFERROR(__xludf.DUMMYFUNCTION("IFNA(VLOOKUP(C18,IMPORTRANGE(""https://docs.google.com/spreadsheets/d/1rG8iy-kKSFDxhVaU60GJ2bpXc8tZqI1bT8U0Ac0DWTU/edit?usp=sharing"",""REGISTRATION!C:V""),19,FALSE),"""")"),"")</f>
        <v/>
      </c>
    </row>
    <row r="19">
      <c r="C19" s="20"/>
      <c r="D19" s="21" t="str">
        <f>IFERROR(__xludf.DUMMYFUNCTION("IFNA(
IF(
VLOOKUP(C19,IMPORTRANGE(""https://docs.google.com/spreadsheets/d/1rG8iy-kKSFDxhVaU60GJ2bpXc8tZqI1bT8U0Ac0DWTU/edit?usp=sharing"",""REGISTRATION!C:X""),22,FALSE)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19" s="22" t="str">
        <f>IFERROR(__xludf.DUMMYFUNCTION("IFNA(
IF(
VLOOKUP(C19,IMPORTRANGE(""https://docs.google.com/spreadsheets/d/1rG8iy-kKSFDxhVaU60GJ2bpXc8tZqI1bT8U0Ac0DWTU/edit?usp=sharing"",""REGISTRATION!C:AB""),26,FALSE)
=""No"",
""No Candy"",
""""
),
""""
)"),"")</f>
        <v/>
      </c>
      <c r="F19" s="21" t="str">
        <f>IFERROR(__xludf.DUMMYFUNCTION("IFNA(VLOOKUP(C19,IMPORTRANGE(""https://docs.google.com/spreadsheets/d/1rG8iy-kKSFDxhVaU60GJ2bpXc8tZqI1bT8U0Ac0DWTU/edit?usp=sharing"",""REGISTRATION!C:V""),18,FALSE),"""")"),"")</f>
        <v/>
      </c>
      <c r="G19" s="21" t="str">
        <f>IFERROR(__xludf.DUMMYFUNCTION("IFNA(VLOOKUP(C19,IMPORTRANGE(""https://docs.google.com/spreadsheets/d/1rG8iy-kKSFDxhVaU60GJ2bpXc8tZqI1bT8U0Ac0DWTU/edit?usp=sharing"",""REGISTRATION!C:V""),20,FALSE),"""")"),"")</f>
        <v/>
      </c>
      <c r="H19" s="21" t="str">
        <f>IFERROR(__xludf.DUMMYFUNCTION("IFNA(VLOOKUP(C19,IMPORTRANGE(""https://docs.google.com/spreadsheets/d/1rG8iy-kKSFDxhVaU60GJ2bpXc8tZqI1bT8U0Ac0DWTU/edit?usp=sharing"",""REGISTRATION!C:V""),19,FALSE),"""")"),"")</f>
        <v/>
      </c>
    </row>
    <row r="20">
      <c r="C20" s="20"/>
      <c r="D20" s="21" t="str">
        <f>IFERROR(__xludf.DUMMYFUNCTION("IFNA(
IF(
VLOOKUP(C20,IMPORTRANGE(""https://docs.google.com/spreadsheets/d/1rG8iy-kKSFDxhVaU60GJ2bpXc8tZqI1bT8U0Ac0DWTU/edit?usp=sharing"",""REGISTRATION!C:X""),22,FALSE)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20" s="22" t="str">
        <f>IFERROR(__xludf.DUMMYFUNCTION("IFNA(
IF(
VLOOKUP(C20,IMPORTRANGE(""https://docs.google.com/spreadsheets/d/1rG8iy-kKSFDxhVaU60GJ2bpXc8tZqI1bT8U0Ac0DWTU/edit?usp=sharing"",""REGISTRATION!C:AB""),26,FALSE)
=""No"",
""No Candy"",
""""
),
""""
)"),"")</f>
        <v/>
      </c>
      <c r="F20" s="21" t="str">
        <f>IFERROR(__xludf.DUMMYFUNCTION("IFNA(VLOOKUP(C20,IMPORTRANGE(""https://docs.google.com/spreadsheets/d/1rG8iy-kKSFDxhVaU60GJ2bpXc8tZqI1bT8U0Ac0DWTU/edit?usp=sharing"",""REGISTRATION!C:V""),18,FALSE),"""")"),"")</f>
        <v/>
      </c>
      <c r="G20" s="21" t="str">
        <f>IFERROR(__xludf.DUMMYFUNCTION("IFNA(VLOOKUP(C20,IMPORTRANGE(""https://docs.google.com/spreadsheets/d/1rG8iy-kKSFDxhVaU60GJ2bpXc8tZqI1bT8U0Ac0DWTU/edit?usp=sharing"",""REGISTRATION!C:V""),20,FALSE),"""")"),"")</f>
        <v/>
      </c>
      <c r="H20" s="21" t="str">
        <f>IFERROR(__xludf.DUMMYFUNCTION("IFNA(VLOOKUP(C20,IMPORTRANGE(""https://docs.google.com/spreadsheets/d/1rG8iy-kKSFDxhVaU60GJ2bpXc8tZqI1bT8U0Ac0DWTU/edit?usp=sharing"",""REGISTRATION!C:V""),19,FALSE),"""")"),"")</f>
        <v/>
      </c>
    </row>
    <row r="21">
      <c r="C21" s="20"/>
      <c r="D21" s="21" t="str">
        <f>IFERROR(__xludf.DUMMYFUNCTION("IFNA(
IF(
VLOOKUP(C21,IMPORTRANGE(""https://docs.google.com/spreadsheets/d/1rG8iy-kKSFDxhVaU60GJ2bpXc8tZqI1bT8U0Ac0DWTU/edit?usp=sharing"",""REGISTRATION!C:X""),22,FALSE)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21" s="22" t="str">
        <f>IFERROR(__xludf.DUMMYFUNCTION("IFNA(
IF(
VLOOKUP(C21,IMPORTRANGE(""https://docs.google.com/spreadsheets/d/1rG8iy-kKSFDxhVaU60GJ2bpXc8tZqI1bT8U0Ac0DWTU/edit?usp=sharing"",""REGISTRATION!C:AB""),26,FALSE)
=""No"",
""No Candy"",
""""
),
""""
)"),"")</f>
        <v/>
      </c>
      <c r="F21" s="21" t="str">
        <f>IFERROR(__xludf.DUMMYFUNCTION("IFNA(VLOOKUP(C21,IMPORTRANGE(""https://docs.google.com/spreadsheets/d/1rG8iy-kKSFDxhVaU60GJ2bpXc8tZqI1bT8U0Ac0DWTU/edit?usp=sharing"",""REGISTRATION!C:V""),18,FALSE),"""")"),"")</f>
        <v/>
      </c>
      <c r="G21" s="21" t="str">
        <f>IFERROR(__xludf.DUMMYFUNCTION("IFNA(VLOOKUP(C21,IMPORTRANGE(""https://docs.google.com/spreadsheets/d/1rG8iy-kKSFDxhVaU60GJ2bpXc8tZqI1bT8U0Ac0DWTU/edit?usp=sharing"",""REGISTRATION!C:V""),20,FALSE),"""")"),"")</f>
        <v/>
      </c>
      <c r="H21" s="21" t="str">
        <f>IFERROR(__xludf.DUMMYFUNCTION("IFNA(VLOOKUP(C21,IMPORTRANGE(""https://docs.google.com/spreadsheets/d/1rG8iy-kKSFDxhVaU60GJ2bpXc8tZqI1bT8U0Ac0DWTU/edit?usp=sharing"",""REGISTRATION!C:V""),19,FALSE),"""")"),"")</f>
        <v/>
      </c>
    </row>
    <row r="22">
      <c r="C22" s="20"/>
      <c r="D22" s="21" t="str">
        <f>IFERROR(__xludf.DUMMYFUNCTION("IFNA(
IF(
VLOOKUP(C22,IMPORTRANGE(""https://docs.google.com/spreadsheets/d/1rG8iy-kKSFDxhVaU60GJ2bpXc8tZqI1bT8U0Ac0DWTU/edit?usp=sharing"",""REGISTRATION!C:X""),22,FALSE)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22" s="22" t="str">
        <f>IFERROR(__xludf.DUMMYFUNCTION("IFNA(
IF(
VLOOKUP(C22,IMPORTRANGE(""https://docs.google.com/spreadsheets/d/1rG8iy-kKSFDxhVaU60GJ2bpXc8tZqI1bT8U0Ac0DWTU/edit?usp=sharing"",""REGISTRATION!C:AB""),26,FALSE)
=""No"",
""No Candy"",
""""
),
""""
)"),"")</f>
        <v/>
      </c>
      <c r="F22" s="21" t="str">
        <f>IFERROR(__xludf.DUMMYFUNCTION("IFNA(VLOOKUP(C22,IMPORTRANGE(""https://docs.google.com/spreadsheets/d/1rG8iy-kKSFDxhVaU60GJ2bpXc8tZqI1bT8U0Ac0DWTU/edit?usp=sharing"",""REGISTRATION!C:V""),18,FALSE),"""")"),"")</f>
        <v/>
      </c>
      <c r="G22" s="21" t="str">
        <f>IFERROR(__xludf.DUMMYFUNCTION("IFNA(VLOOKUP(C22,IMPORTRANGE(""https://docs.google.com/spreadsheets/d/1rG8iy-kKSFDxhVaU60GJ2bpXc8tZqI1bT8U0Ac0DWTU/edit?usp=sharing"",""REGISTRATION!C:V""),20,FALSE),"""")"),"")</f>
        <v/>
      </c>
      <c r="H22" s="21" t="str">
        <f>IFERROR(__xludf.DUMMYFUNCTION("IFNA(VLOOKUP(C22,IMPORTRANGE(""https://docs.google.com/spreadsheets/d/1rG8iy-kKSFDxhVaU60GJ2bpXc8tZqI1bT8U0Ac0DWTU/edit?usp=sharing"",""REGISTRATION!C:V""),19,FALSE),"""")"),"")</f>
        <v/>
      </c>
    </row>
    <row r="23">
      <c r="C23" s="20"/>
      <c r="D23" s="21" t="str">
        <f>IFERROR(__xludf.DUMMYFUNCTION("IFNA(
IF(
VLOOKUP(C23,IMPORTRANGE(""https://docs.google.com/spreadsheets/d/1rG8iy-kKSFDxhVaU60GJ2bpXc8tZqI1bT8U0Ac0DWTU/edit?usp=sharing"",""REGISTRATION!C:X""),22,FALSE)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23" s="22" t="str">
        <f>IFERROR(__xludf.DUMMYFUNCTION("IFNA(
IF(
VLOOKUP(C23,IMPORTRANGE(""https://docs.google.com/spreadsheets/d/1rG8iy-kKSFDxhVaU60GJ2bpXc8tZqI1bT8U0Ac0DWTU/edit?usp=sharing"",""REGISTRATION!C:AB""),26,FALSE)
=""No"",
""No Candy"",
""""
),
""""
)"),"")</f>
        <v/>
      </c>
      <c r="F23" s="21" t="str">
        <f>IFERROR(__xludf.DUMMYFUNCTION("IFNA(VLOOKUP(C23,IMPORTRANGE(""https://docs.google.com/spreadsheets/d/1rG8iy-kKSFDxhVaU60GJ2bpXc8tZqI1bT8U0Ac0DWTU/edit?usp=sharing"",""REGISTRATION!C:V""),18,FALSE),"""")"),"")</f>
        <v/>
      </c>
      <c r="G23" s="21" t="str">
        <f>IFERROR(__xludf.DUMMYFUNCTION("IFNA(VLOOKUP(C23,IMPORTRANGE(""https://docs.google.com/spreadsheets/d/1rG8iy-kKSFDxhVaU60GJ2bpXc8tZqI1bT8U0Ac0DWTU/edit?usp=sharing"",""REGISTRATION!C:V""),20,FALSE),"""")"),"")</f>
        <v/>
      </c>
      <c r="H23" s="21" t="str">
        <f>IFERROR(__xludf.DUMMYFUNCTION("IFNA(VLOOKUP(C23,IMPORTRANGE(""https://docs.google.com/spreadsheets/d/1rG8iy-kKSFDxhVaU60GJ2bpXc8tZqI1bT8U0Ac0DWTU/edit?usp=sharing"",""REGISTRATION!C:V""),19,FALSE),"""")"),"")</f>
        <v/>
      </c>
    </row>
    <row r="24">
      <c r="A24" s="30" t="s">
        <v>49</v>
      </c>
      <c r="B24" s="30" t="s">
        <v>229</v>
      </c>
      <c r="C24" s="65" t="s">
        <v>230</v>
      </c>
      <c r="D24" s="46" t="str">
        <f>IFERROR(__xludf.DUMMYFUNCTION("IFNA(
IF(
VLOOKUP(C24,IMPORTRANGE(""https://docs.google.com/spreadsheets/d/1rG8iy-kKSFDxhVaU60GJ2bpXc8tZqI1bT8U0Ac0DWTU/edit?usp=sharing"",""REGISTRATION!C:X""),22,FALSE)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24" s="66" t="str">
        <f>IFERROR(__xludf.DUMMYFUNCTION("IFNA(
IF(
VLOOKUP(C24,IMPORTRANGE(""https://docs.google.com/spreadsheets/d/1rG8iy-kKSFDxhVaU60GJ2bpXc8tZqI1bT8U0Ac0DWTU/edit?usp=sharing"",""REGISTRATION!C:AB""),26,FALSE)
=""No"",
""No Candy"",
""""
),
""""
)"),"")</f>
        <v/>
      </c>
      <c r="F24" s="32" t="str">
        <f>IFERROR(__xludf.DUMMYFUNCTION("IFNA(VLOOKUP(C24,IMPORTRANGE(""https://docs.google.com/spreadsheets/d/1rG8iy-kKSFDxhVaU60GJ2bpXc8tZqI1bT8U0Ac0DWTU/edit?usp=sharing"",""REGISTRATION!C:V""),18,FALSE),"""")"),"None")</f>
        <v>None</v>
      </c>
      <c r="G24" s="32" t="str">
        <f>IFERROR(__xludf.DUMMYFUNCTION("IFNA(VLOOKUP(C24,IMPORTRANGE(""https://docs.google.com/spreadsheets/d/1rG8iy-kKSFDxhVaU60GJ2bpXc8tZqI1bT8U0Ac0DWTU/edit?usp=sharing"",""REGISTRATION!C:V""),20,FALSE),"""")"),"")</f>
        <v/>
      </c>
      <c r="H24" s="32" t="str">
        <f>IFERROR(__xludf.DUMMYFUNCTION("IFNA(VLOOKUP(C24,IMPORTRANGE(""https://docs.google.com/spreadsheets/d/1rG8iy-kKSFDxhVaU60GJ2bpXc8tZqI1bT8U0Ac0DWTU/edit?usp=sharing"",""REGISTRATION!C:V""),19,FALSE),"""")"),"None")</f>
        <v>None</v>
      </c>
    </row>
    <row r="25">
      <c r="C25" s="65" t="s">
        <v>155</v>
      </c>
      <c r="D25" s="46" t="str">
        <f>IFERROR(__xludf.DUMMYFUNCTION("IFNA(
IF(
VLOOKUP(C25,IMPORTRANGE(""https://docs.google.com/spreadsheets/d/1rG8iy-kKSFDxhVaU60GJ2bpXc8tZqI1bT8U0Ac0DWTU/edit?usp=sharing"",""REGISTRATION!C:X""),22,FALSE)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25" s="66" t="str">
        <f>IFERROR(__xludf.DUMMYFUNCTION("IFNA(
IF(
VLOOKUP(C25,IMPORTRANGE(""https://docs.google.com/spreadsheets/d/1rG8iy-kKSFDxhVaU60GJ2bpXc8tZqI1bT8U0Ac0DWTU/edit?usp=sharing"",""REGISTRATION!C:AB""),26,FALSE)
=""No"",
""No Candy"",
""""
),
""""
)"),"")</f>
        <v/>
      </c>
      <c r="F25" s="32" t="str">
        <f>IFERROR(__xludf.DUMMYFUNCTION("IFNA(VLOOKUP(C25,IMPORTRANGE(""https://docs.google.com/spreadsheets/d/1rG8iy-kKSFDxhVaU60GJ2bpXc8tZqI1bT8U0Ac0DWTU/edit?usp=sharing"",""REGISTRATION!C:V""),18,FALSE),"""")"),"None")</f>
        <v>None</v>
      </c>
      <c r="G25" s="32" t="str">
        <f>IFERROR(__xludf.DUMMYFUNCTION("IFNA(VLOOKUP(C25,IMPORTRANGE(""https://docs.google.com/spreadsheets/d/1rG8iy-kKSFDxhVaU60GJ2bpXc8tZqI1bT8U0Ac0DWTU/edit?usp=sharing"",""REGISTRATION!C:V""),20,FALSE),"""")"),"")</f>
        <v/>
      </c>
      <c r="H25" s="32" t="str">
        <f>IFERROR(__xludf.DUMMYFUNCTION("IFNA(VLOOKUP(C25,IMPORTRANGE(""https://docs.google.com/spreadsheets/d/1rG8iy-kKSFDxhVaU60GJ2bpXc8tZqI1bT8U0Ac0DWTU/edit?usp=sharing"",""REGISTRATION!C:V""),19,FALSE),"""")"),"None")</f>
        <v>None</v>
      </c>
    </row>
    <row r="26">
      <c r="C26" s="65" t="s">
        <v>157</v>
      </c>
      <c r="D26" s="46" t="str">
        <f>IFERROR(__xludf.DUMMYFUNCTION("IFNA(
IF(
VLOOKUP(C26,IMPORTRANGE(""https://docs.google.com/spreadsheets/d/1rG8iy-kKSFDxhVaU60GJ2bpXc8tZqI1bT8U0Ac0DWTU/edit?usp=sharing"",""REGISTRATION!C:X""),22,FALSE)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26" s="66" t="str">
        <f>IFERROR(__xludf.DUMMYFUNCTION("IFNA(
IF(
VLOOKUP(C26,IMPORTRANGE(""https://docs.google.com/spreadsheets/d/1rG8iy-kKSFDxhVaU60GJ2bpXc8tZqI1bT8U0Ac0DWTU/edit?usp=sharing"",""REGISTRATION!C:AB""),26,FALSE)
=""No"",
""No Candy"",
""""
),
""""
)"),"")</f>
        <v/>
      </c>
      <c r="F26" s="32" t="str">
        <f>IFERROR(__xludf.DUMMYFUNCTION("IFNA(VLOOKUP(C26,IMPORTRANGE(""https://docs.google.com/spreadsheets/d/1rG8iy-kKSFDxhVaU60GJ2bpXc8tZqI1bT8U0Ac0DWTU/edit?usp=sharing"",""REGISTRATION!C:V""),18,FALSE),"""")"),"Vegetarian")</f>
        <v>Vegetarian</v>
      </c>
      <c r="G26" s="32" t="str">
        <f>IFERROR(__xludf.DUMMYFUNCTION("IFNA(VLOOKUP(C26,IMPORTRANGE(""https://docs.google.com/spreadsheets/d/1rG8iy-kKSFDxhVaU60GJ2bpXc8tZqI1bT8U0Ac0DWTU/edit?usp=sharing"",""REGISTRATION!C:V""),20,FALSE),"""")"),"")</f>
        <v/>
      </c>
      <c r="H26" s="32" t="str">
        <f>IFERROR(__xludf.DUMMYFUNCTION("IFNA(VLOOKUP(C26,IMPORTRANGE(""https://docs.google.com/spreadsheets/d/1rG8iy-kKSFDxhVaU60GJ2bpXc8tZqI1bT8U0Ac0DWTU/edit?usp=sharing"",""REGISTRATION!C:V""),19,FALSE),"""")"),"None")</f>
        <v>None</v>
      </c>
    </row>
    <row r="27">
      <c r="C27" s="65" t="s">
        <v>231</v>
      </c>
      <c r="D27" s="46" t="str">
        <f>IFERROR(__xludf.DUMMYFUNCTION("IFNA(
IF(
VLOOKUP(C27,IMPORTRANGE(""https://docs.google.com/spreadsheets/d/1rG8iy-kKSFDxhVaU60GJ2bpXc8tZqI1bT8U0Ac0DWTU/edit?usp=sharing"",""REGISTRATION!C:X""),22,FALSE)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27" s="66" t="str">
        <f>IFERROR(__xludf.DUMMYFUNCTION("IFNA(
IF(
VLOOKUP(C27,IMPORTRANGE(""https://docs.google.com/spreadsheets/d/1rG8iy-kKSFDxhVaU60GJ2bpXc8tZqI1bT8U0Ac0DWTU/edit?usp=sharing"",""REGISTRATION!C:AB""),26,FALSE)
=""No"",
""No Candy"",
""""
),
""""
)"),"")</f>
        <v/>
      </c>
      <c r="F27" s="32" t="str">
        <f>IFERROR(__xludf.DUMMYFUNCTION("IFNA(VLOOKUP(C27,IMPORTRANGE(""https://docs.google.com/spreadsheets/d/1rG8iy-kKSFDxhVaU60GJ2bpXc8tZqI1bT8U0Ac0DWTU/edit?usp=sharing"",""REGISTRATION!C:V""),18,FALSE),"""")"),"None")</f>
        <v>None</v>
      </c>
      <c r="G27" s="32" t="str">
        <f>IFERROR(__xludf.DUMMYFUNCTION("IFNA(VLOOKUP(C27,IMPORTRANGE(""https://docs.google.com/spreadsheets/d/1rG8iy-kKSFDxhVaU60GJ2bpXc8tZqI1bT8U0Ac0DWTU/edit?usp=sharing"",""REGISTRATION!C:V""),20,FALSE),"""")"),"")</f>
        <v/>
      </c>
      <c r="H27" s="32" t="str">
        <f>IFERROR(__xludf.DUMMYFUNCTION("IFNA(VLOOKUP(C27,IMPORTRANGE(""https://docs.google.com/spreadsheets/d/1rG8iy-kKSFDxhVaU60GJ2bpXc8tZqI1bT8U0Ac0DWTU/edit?usp=sharing"",""REGISTRATION!C:V""),19,FALSE),"""")"),"Autism")</f>
        <v>Autism</v>
      </c>
    </row>
    <row r="28">
      <c r="C28" s="65" t="s">
        <v>232</v>
      </c>
      <c r="D28" s="46" t="str">
        <f>IFERROR(__xludf.DUMMYFUNCTION("IFNA(
IF(
VLOOKUP(C28,IMPORTRANGE(""https://docs.google.com/spreadsheets/d/1rG8iy-kKSFDxhVaU60GJ2bpXc8tZqI1bT8U0Ac0DWTU/edit?usp=sharing"",""REGISTRATION!C:X""),22,FALSE)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28" s="66" t="str">
        <f>IFERROR(__xludf.DUMMYFUNCTION("IFNA(
IF(
VLOOKUP(C28,IMPORTRANGE(""https://docs.google.com/spreadsheets/d/1rG8iy-kKSFDxhVaU60GJ2bpXc8tZqI1bT8U0Ac0DWTU/edit?usp=sharing"",""REGISTRATION!C:AB""),26,FALSE)
=""No"",
""No Candy"",
""""
),
""""
)"),"")</f>
        <v/>
      </c>
      <c r="F28" s="32" t="str">
        <f>IFERROR(__xludf.DUMMYFUNCTION("IFNA(VLOOKUP(C28,IMPORTRANGE(""https://docs.google.com/spreadsheets/d/1rG8iy-kKSFDxhVaU60GJ2bpXc8tZqI1bT8U0Ac0DWTU/edit?usp=sharing"",""REGISTRATION!C:V""),18,FALSE),"""")"),"Tree nuts")</f>
        <v>Tree nuts</v>
      </c>
      <c r="G28" s="32" t="str">
        <f>IFERROR(__xludf.DUMMYFUNCTION("IFNA(VLOOKUP(C28,IMPORTRANGE(""https://docs.google.com/spreadsheets/d/1rG8iy-kKSFDxhVaU60GJ2bpXc8tZqI1bT8U0Ac0DWTU/edit?usp=sharing"",""REGISTRATION!C:V""),20,FALSE),"""")"),"")</f>
        <v/>
      </c>
      <c r="H28" s="32" t="str">
        <f>IFERROR(__xludf.DUMMYFUNCTION("IFNA(VLOOKUP(C28,IMPORTRANGE(""https://docs.google.com/spreadsheets/d/1rG8iy-kKSFDxhVaU60GJ2bpXc8tZqI1bT8U0Ac0DWTU/edit?usp=sharing"",""REGISTRATION!C:V""),19,FALSE),"""")"),"None")</f>
        <v>None</v>
      </c>
    </row>
    <row r="29">
      <c r="C29" s="65" t="s">
        <v>160</v>
      </c>
      <c r="D29" s="46" t="str">
        <f>IFERROR(__xludf.DUMMYFUNCTION("IFNA(
IF(
VLOOKUP(C29,IMPORTRANGE(""https://docs.google.com/spreadsheets/d/1rG8iy-kKSFDxhVaU60GJ2bpXc8tZqI1bT8U0Ac0DWTU/edit?usp=sharing"",""REGISTRATION!C:X""),22,FALSE)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29" s="66" t="str">
        <f>IFERROR(__xludf.DUMMYFUNCTION("IFNA(
IF(
VLOOKUP(C29,IMPORTRANGE(""https://docs.google.com/spreadsheets/d/1rG8iy-kKSFDxhVaU60GJ2bpXc8tZqI1bT8U0Ac0DWTU/edit?usp=sharing"",""REGISTRATION!C:AB""),26,FALSE)
=""No"",
""No Candy"",
""""
),
""""
)"),"")</f>
        <v/>
      </c>
      <c r="F29" s="32" t="str">
        <f>IFERROR(__xludf.DUMMYFUNCTION("IFNA(VLOOKUP(C29,IMPORTRANGE(""https://docs.google.com/spreadsheets/d/1rG8iy-kKSFDxhVaU60GJ2bpXc8tZqI1bT8U0Ac0DWTU/edit?usp=sharing"",""REGISTRATION!C:V""),18,FALSE),"""")"),"None")</f>
        <v>None</v>
      </c>
      <c r="G29" s="32" t="str">
        <f>IFERROR(__xludf.DUMMYFUNCTION("IFNA(VLOOKUP(C29,IMPORTRANGE(""https://docs.google.com/spreadsheets/d/1rG8iy-kKSFDxhVaU60GJ2bpXc8tZqI1bT8U0Ac0DWTU/edit?usp=sharing"",""REGISTRATION!C:V""),20,FALSE),"""")"),"")</f>
        <v/>
      </c>
      <c r="H29" s="32" t="str">
        <f>IFERROR(__xludf.DUMMYFUNCTION("IFNA(VLOOKUP(C29,IMPORTRANGE(""https://docs.google.com/spreadsheets/d/1rG8iy-kKSFDxhVaU60GJ2bpXc8tZqI1bT8U0Ac0DWTU/edit?usp=sharing"",""REGISTRATION!C:V""),19,FALSE),"""")"),"None")</f>
        <v>None</v>
      </c>
    </row>
    <row r="30">
      <c r="C30" s="65" t="s">
        <v>200</v>
      </c>
      <c r="D30" s="46" t="str">
        <f>IFERROR(__xludf.DUMMYFUNCTION("IFNA(
IF(
VLOOKUP(C30,IMPORTRANGE(""https://docs.google.com/spreadsheets/d/1rG8iy-kKSFDxhVaU60GJ2bpXc8tZqI1bT8U0Ac0DWTU/edit?usp=sharing"",""REGISTRATION!C:X""),22,FALSE)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30" s="66" t="str">
        <f>IFERROR(__xludf.DUMMYFUNCTION("IFNA(
IF(
VLOOKUP(C30,IMPORTRANGE(""https://docs.google.com/spreadsheets/d/1rG8iy-kKSFDxhVaU60GJ2bpXc8tZqI1bT8U0Ac0DWTU/edit?usp=sharing"",""REGISTRATION!C:AB""),26,FALSE)
=""No"",
""No Candy"",
""""
),
""""
)"),"")</f>
        <v/>
      </c>
      <c r="F30" s="32" t="str">
        <f>IFERROR(__xludf.DUMMYFUNCTION("IFNA(VLOOKUP(C30,IMPORTRANGE(""https://docs.google.com/spreadsheets/d/1rG8iy-kKSFDxhVaU60GJ2bpXc8tZqI1bT8U0Ac0DWTU/edit?usp=sharing"",""REGISTRATION!C:V""),18,FALSE),"""")"),"None")</f>
        <v>None</v>
      </c>
      <c r="G30" s="32" t="str">
        <f>IFERROR(__xludf.DUMMYFUNCTION("IFNA(VLOOKUP(C30,IMPORTRANGE(""https://docs.google.com/spreadsheets/d/1rG8iy-kKSFDxhVaU60GJ2bpXc8tZqI1bT8U0Ac0DWTU/edit?usp=sharing"",""REGISTRATION!C:V""),20,FALSE),"""")"),"")</f>
        <v/>
      </c>
      <c r="H30" s="32" t="str">
        <f>IFERROR(__xludf.DUMMYFUNCTION("IFNA(VLOOKUP(C30,IMPORTRANGE(""https://docs.google.com/spreadsheets/d/1rG8iy-kKSFDxhVaU60GJ2bpXc8tZqI1bT8U0Ac0DWTU/edit?usp=sharing"",""REGISTRATION!C:V""),19,FALSE),"""")"),"None")</f>
        <v>None</v>
      </c>
    </row>
    <row r="31">
      <c r="C31" s="65" t="s">
        <v>201</v>
      </c>
      <c r="D31" s="46" t="str">
        <f>IFERROR(__xludf.DUMMYFUNCTION("IFNA(
IF(
VLOOKUP(C31,IMPORTRANGE(""https://docs.google.com/spreadsheets/d/1rG8iy-kKSFDxhVaU60GJ2bpXc8tZqI1bT8U0Ac0DWTU/edit?usp=sharing"",""REGISTRATION!C:X""),22,FALSE)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31" s="66" t="str">
        <f>IFERROR(__xludf.DUMMYFUNCTION("IFNA(
IF(
VLOOKUP(C31,IMPORTRANGE(""https://docs.google.com/spreadsheets/d/1rG8iy-kKSFDxhVaU60GJ2bpXc8tZqI1bT8U0Ac0DWTU/edit?usp=sharing"",""REGISTRATION!C:AB""),26,FALSE)
=""No"",
""No Candy"",
""""
),
""""
)"),"")</f>
        <v/>
      </c>
      <c r="F31" s="32" t="str">
        <f>IFERROR(__xludf.DUMMYFUNCTION("IFNA(VLOOKUP(C31,IMPORTRANGE(""https://docs.google.com/spreadsheets/d/1rG8iy-kKSFDxhVaU60GJ2bpXc8tZqI1bT8U0Ac0DWTU/edit?usp=sharing"",""REGISTRATION!C:V""),18,FALSE),"""")"),"Penicillin ")</f>
        <v>Penicillin </v>
      </c>
      <c r="G31" s="32" t="str">
        <f>IFERROR(__xludf.DUMMYFUNCTION("IFNA(VLOOKUP(C31,IMPORTRANGE(""https://docs.google.com/spreadsheets/d/1rG8iy-kKSFDxhVaU60GJ2bpXc8tZqI1bT8U0Ac0DWTU/edit?usp=sharing"",""REGISTRATION!C:V""),20,FALSE),"""")"),"")</f>
        <v/>
      </c>
      <c r="H31" s="32" t="str">
        <f>IFERROR(__xludf.DUMMYFUNCTION("IFNA(VLOOKUP(C31,IMPORTRANGE(""https://docs.google.com/spreadsheets/d/1rG8iy-kKSFDxhVaU60GJ2bpXc8tZqI1bT8U0Ac0DWTU/edit?usp=sharing"",""REGISTRATION!C:V""),19,FALSE),"""")"),"Very Nearsighted ")</f>
        <v>Very Nearsighted </v>
      </c>
    </row>
    <row r="32">
      <c r="C32" s="65" t="s">
        <v>202</v>
      </c>
      <c r="D32" s="46" t="str">
        <f>IFERROR(__xludf.DUMMYFUNCTION("IFNA(
IF(
VLOOKUP(C32,IMPORTRANGE(""https://docs.google.com/spreadsheets/d/1rG8iy-kKSFDxhVaU60GJ2bpXc8tZqI1bT8U0Ac0DWTU/edit?usp=sharing"",""REGISTRATION!C:X""),22,FALSE)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32" s="66" t="str">
        <f>IFERROR(__xludf.DUMMYFUNCTION("IFNA(
IF(
VLOOKUP(C32,IMPORTRANGE(""https://docs.google.com/spreadsheets/d/1rG8iy-kKSFDxhVaU60GJ2bpXc8tZqI1bT8U0Ac0DWTU/edit?usp=sharing"",""REGISTRATION!C:AB""),26,FALSE)
=""No"",
""No Candy"",
""""
),
""""
)"),"")</f>
        <v/>
      </c>
      <c r="F32" s="32" t="str">
        <f>IFERROR(__xludf.DUMMYFUNCTION("IFNA(VLOOKUP(C32,IMPORTRANGE(""https://docs.google.com/spreadsheets/d/1rG8iy-kKSFDxhVaU60GJ2bpXc8tZqI1bT8U0Ac0DWTU/edit?usp=sharing"",""REGISTRATION!C:V""),18,FALSE),"""")"),"None")</f>
        <v>None</v>
      </c>
      <c r="G32" s="32" t="str">
        <f>IFERROR(__xludf.DUMMYFUNCTION("IFNA(VLOOKUP(C32,IMPORTRANGE(""https://docs.google.com/spreadsheets/d/1rG8iy-kKSFDxhVaU60GJ2bpXc8tZqI1bT8U0Ac0DWTU/edit?usp=sharing"",""REGISTRATION!C:V""),20,FALSE),"""")"),"")</f>
        <v/>
      </c>
      <c r="H32" s="32" t="str">
        <f>IFERROR(__xludf.DUMMYFUNCTION("IFNA(VLOOKUP(C32,IMPORTRANGE(""https://docs.google.com/spreadsheets/d/1rG8iy-kKSFDxhVaU60GJ2bpXc8tZqI1bT8U0Ac0DWTU/edit?usp=sharing"",""REGISTRATION!C:V""),19,FALSE),"""")"),"None")</f>
        <v>None</v>
      </c>
    </row>
    <row r="33">
      <c r="C33" s="65" t="s">
        <v>203</v>
      </c>
      <c r="D33" s="46" t="str">
        <f>IFERROR(__xludf.DUMMYFUNCTION("IFNA(
IF(
VLOOKUP(C33,IMPORTRANGE(""https://docs.google.com/spreadsheets/d/1rG8iy-kKSFDxhVaU60GJ2bpXc8tZqI1bT8U0Ac0DWTU/edit?usp=sharing"",""REGISTRATION!C:X""),22,FALSE)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33" s="66" t="str">
        <f>IFERROR(__xludf.DUMMYFUNCTION("IFNA(
IF(
VLOOKUP(C33,IMPORTRANGE(""https://docs.google.com/spreadsheets/d/1rG8iy-kKSFDxhVaU60GJ2bpXc8tZqI1bT8U0Ac0DWTU/edit?usp=sharing"",""REGISTRATION!C:AB""),26,FALSE)
=""No"",
""No Candy"",
""""
),
""""
)"),"")</f>
        <v/>
      </c>
      <c r="F33" s="32" t="str">
        <f>IFERROR(__xludf.DUMMYFUNCTION("IFNA(VLOOKUP(C33,IMPORTRANGE(""https://docs.google.com/spreadsheets/d/1rG8iy-kKSFDxhVaU60GJ2bpXc8tZqI1bT8U0Ac0DWTU/edit?usp=sharing"",""REGISTRATION!C:V""),18,FALSE),"""")"),"Allergic to cats and dogs")</f>
        <v>Allergic to cats and dogs</v>
      </c>
      <c r="G33" s="32" t="str">
        <f>IFERROR(__xludf.DUMMYFUNCTION("IFNA(VLOOKUP(C33,IMPORTRANGE(""https://docs.google.com/spreadsheets/d/1rG8iy-kKSFDxhVaU60GJ2bpXc8tZqI1bT8U0Ac0DWTU/edit?usp=sharing"",""REGISTRATION!C:V""),20,FALSE),"""")"),"")</f>
        <v/>
      </c>
      <c r="H33" s="32" t="str">
        <f>IFERROR(__xludf.DUMMYFUNCTION("IFNA(VLOOKUP(C33,IMPORTRANGE(""https://docs.google.com/spreadsheets/d/1rG8iy-kKSFDxhVaU60GJ2bpXc8tZqI1bT8U0Ac0DWTU/edit?usp=sharing"",""REGISTRATION!C:V""),19,FALSE),"""")"),"None")</f>
        <v>None</v>
      </c>
    </row>
    <row r="34">
      <c r="C34" s="65" t="s">
        <v>174</v>
      </c>
      <c r="D34" s="46" t="str">
        <f>IFERROR(__xludf.DUMMYFUNCTION("IFNA(
IF(
VLOOKUP(C34,IMPORTRANGE(""https://docs.google.com/spreadsheets/d/1rG8iy-kKSFDxhVaU60GJ2bpXc8tZqI1bT8U0Ac0DWTU/edit?usp=sharing"",""REGISTRATION!C:X""),22,FALSE)
=""I qualify for Free and Reduced Lunch and WOULD like lunch to be provided for my c"&amp;"hild."",
""Yes"",
""""
),
""""
)"),"Yes")</f>
        <v>Yes</v>
      </c>
      <c r="E34" s="66" t="str">
        <f>IFERROR(__xludf.DUMMYFUNCTION("IFNA(
IF(
VLOOKUP(C34,IMPORTRANGE(""https://docs.google.com/spreadsheets/d/1rG8iy-kKSFDxhVaU60GJ2bpXc8tZqI1bT8U0Ac0DWTU/edit?usp=sharing"",""REGISTRATION!C:AB""),26,FALSE)
=""No"",
""No Candy"",
""""
),
""""
)"),"")</f>
        <v/>
      </c>
      <c r="F34" s="32" t="str">
        <f>IFERROR(__xludf.DUMMYFUNCTION("IFNA(VLOOKUP(C34,IMPORTRANGE(""https://docs.google.com/spreadsheets/d/1rG8iy-kKSFDxhVaU60GJ2bpXc8tZqI1bT8U0Ac0DWTU/edit?usp=sharing"",""REGISTRATION!C:V""),18,FALSE),"""")"),"None")</f>
        <v>None</v>
      </c>
      <c r="G34" s="32" t="str">
        <f>IFERROR(__xludf.DUMMYFUNCTION("IFNA(VLOOKUP(C34,IMPORTRANGE(""https://docs.google.com/spreadsheets/d/1rG8iy-kKSFDxhVaU60GJ2bpXc8tZqI1bT8U0Ac0DWTU/edit?usp=sharing"",""REGISTRATION!C:V""),20,FALSE),"""")"),"")</f>
        <v/>
      </c>
      <c r="H34" s="32" t="str">
        <f>IFERROR(__xludf.DUMMYFUNCTION("IFNA(VLOOKUP(C34,IMPORTRANGE(""https://docs.google.com/spreadsheets/d/1rG8iy-kKSFDxhVaU60GJ2bpXc8tZqI1bT8U0Ac0DWTU/edit?usp=sharing"",""REGISTRATION!C:V""),19,FALSE),"""")"),"None")</f>
        <v>None</v>
      </c>
    </row>
    <row r="35" ht="27.75" customHeight="1">
      <c r="C35" s="65"/>
      <c r="D35" s="46" t="str">
        <f>IFERROR(__xludf.DUMMYFUNCTION("IFNA(
IF(
VLOOKUP(C35,IMPORTRANGE(""https://docs.google.com/spreadsheets/d/1rG8iy-kKSFDxhVaU60GJ2bpXc8tZqI1bT8U0Ac0DWTU/edit?usp=sharing"",""REGISTRATION!C:X""),22,FALSE)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35" s="66" t="str">
        <f>IFERROR(__xludf.DUMMYFUNCTION("IFNA(
IF(
VLOOKUP(C35,IMPORTRANGE(""https://docs.google.com/spreadsheets/d/1rG8iy-kKSFDxhVaU60GJ2bpXc8tZqI1bT8U0Ac0DWTU/edit?usp=sharing"",""REGISTRATION!C:AB""),26,FALSE)
=""No"",
""No Candy"",
""""
),
""""
)"),"")</f>
        <v/>
      </c>
      <c r="F35" s="32" t="str">
        <f>IFERROR(__xludf.DUMMYFUNCTION("IFNA(VLOOKUP(C35,IMPORTRANGE(""https://docs.google.com/spreadsheets/d/1rG8iy-kKSFDxhVaU60GJ2bpXc8tZqI1bT8U0Ac0DWTU/edit?usp=sharing"",""REGISTRATION!C:V""),18,FALSE),"""")"),"")</f>
        <v/>
      </c>
      <c r="G35" s="32" t="str">
        <f>IFERROR(__xludf.DUMMYFUNCTION("IFNA(VLOOKUP(C35,IMPORTRANGE(""https://docs.google.com/spreadsheets/d/1rG8iy-kKSFDxhVaU60GJ2bpXc8tZqI1bT8U0Ac0DWTU/edit?usp=sharing"",""REGISTRATION!C:V""),20,FALSE),"""")"),"")</f>
        <v/>
      </c>
      <c r="H35" s="32" t="str">
        <f>IFERROR(__xludf.DUMMYFUNCTION("IFNA(VLOOKUP(C35,IMPORTRANGE(""https://docs.google.com/spreadsheets/d/1rG8iy-kKSFDxhVaU60GJ2bpXc8tZqI1bT8U0Ac0DWTU/edit?usp=sharing"",""REGISTRATION!C:V""),19,FALSE),"""")"),"")</f>
        <v/>
      </c>
    </row>
    <row r="36">
      <c r="C36" s="65"/>
      <c r="D36" s="46" t="str">
        <f>IFERROR(__xludf.DUMMYFUNCTION("IFNA(
IF(
VLOOKUP(C36,IMPORTRANGE(""https://docs.google.com/spreadsheets/d/1rG8iy-kKSFDxhVaU60GJ2bpXc8tZqI1bT8U0Ac0DWTU/edit?usp=sharing"",""REGISTRATION!C:X""),22,FALSE)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36" s="66" t="str">
        <f>IFERROR(__xludf.DUMMYFUNCTION("IFNA(
IF(
VLOOKUP(C36,IMPORTRANGE(""https://docs.google.com/spreadsheets/d/1rG8iy-kKSFDxhVaU60GJ2bpXc8tZqI1bT8U0Ac0DWTU/edit?usp=sharing"",""REGISTRATION!C:AB""),26,FALSE)
=""No"",
""No Candy"",
""""
),
""""
)"),"")</f>
        <v/>
      </c>
      <c r="F36" s="32" t="str">
        <f>IFERROR(__xludf.DUMMYFUNCTION("IFNA(VLOOKUP(C36,IMPORTRANGE(""https://docs.google.com/spreadsheets/d/1rG8iy-kKSFDxhVaU60GJ2bpXc8tZqI1bT8U0Ac0DWTU/edit?usp=sharing"",""REGISTRATION!C:V""),18,FALSE),"""")"),"")</f>
        <v/>
      </c>
      <c r="G36" s="32" t="str">
        <f>IFERROR(__xludf.DUMMYFUNCTION("IFNA(VLOOKUP(C36,IMPORTRANGE(""https://docs.google.com/spreadsheets/d/1rG8iy-kKSFDxhVaU60GJ2bpXc8tZqI1bT8U0Ac0DWTU/edit?usp=sharing"",""REGISTRATION!C:V""),20,FALSE),"""")"),"")</f>
        <v/>
      </c>
      <c r="H36" s="32" t="str">
        <f>IFERROR(__xludf.DUMMYFUNCTION("IFNA(VLOOKUP(C36,IMPORTRANGE(""https://docs.google.com/spreadsheets/d/1rG8iy-kKSFDxhVaU60GJ2bpXc8tZqI1bT8U0Ac0DWTU/edit?usp=sharing"",""REGISTRATION!C:V""),19,FALSE),"""")"),"")</f>
        <v/>
      </c>
    </row>
    <row r="37">
      <c r="C37" s="65"/>
      <c r="D37" s="46" t="str">
        <f>IFERROR(__xludf.DUMMYFUNCTION("IFNA(
IF(
VLOOKUP(C37,IMPORTRANGE(""https://docs.google.com/spreadsheets/d/1rG8iy-kKSFDxhVaU60GJ2bpXc8tZqI1bT8U0Ac0DWTU/edit?usp=sharing"",""REGISTRATION!C:X""),22,FALSE)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37" s="66" t="str">
        <f>IFERROR(__xludf.DUMMYFUNCTION("IFNA(
IF(
VLOOKUP(C37,IMPORTRANGE(""https://docs.google.com/spreadsheets/d/1rG8iy-kKSFDxhVaU60GJ2bpXc8tZqI1bT8U0Ac0DWTU/edit?usp=sharing"",""REGISTRATION!C:AB""),26,FALSE)
=""No"",
""No Candy"",
""""
),
""""
)"),"")</f>
        <v/>
      </c>
      <c r="F37" s="32" t="str">
        <f>IFERROR(__xludf.DUMMYFUNCTION("IFNA(VLOOKUP(C37,IMPORTRANGE(""https://docs.google.com/spreadsheets/d/1rG8iy-kKSFDxhVaU60GJ2bpXc8tZqI1bT8U0Ac0DWTU/edit?usp=sharing"",""REGISTRATION!C:V""),18,FALSE),"""")"),"")</f>
        <v/>
      </c>
      <c r="G37" s="32" t="str">
        <f>IFERROR(__xludf.DUMMYFUNCTION("IFNA(VLOOKUP(C37,IMPORTRANGE(""https://docs.google.com/spreadsheets/d/1rG8iy-kKSFDxhVaU60GJ2bpXc8tZqI1bT8U0Ac0DWTU/edit?usp=sharing"",""REGISTRATION!C:V""),20,FALSE),"""")"),"")</f>
        <v/>
      </c>
      <c r="H37" s="32" t="str">
        <f>IFERROR(__xludf.DUMMYFUNCTION("IFNA(VLOOKUP(C37,IMPORTRANGE(""https://docs.google.com/spreadsheets/d/1rG8iy-kKSFDxhVaU60GJ2bpXc8tZqI1bT8U0Ac0DWTU/edit?usp=sharing"",""REGISTRATION!C:V""),19,FALSE),"""")"),"")</f>
        <v/>
      </c>
    </row>
    <row r="38">
      <c r="C38" s="65"/>
      <c r="D38" s="46" t="str">
        <f>IFERROR(__xludf.DUMMYFUNCTION("IFNA(
IF(
VLOOKUP(C38,IMPORTRANGE(""https://docs.google.com/spreadsheets/d/1rG8iy-kKSFDxhVaU60GJ2bpXc8tZqI1bT8U0Ac0DWTU/edit?usp=sharing"",""REGISTRATION!C:X""),22,FALSE)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38" s="66" t="str">
        <f>IFERROR(__xludf.DUMMYFUNCTION("IFNA(
IF(
VLOOKUP(C38,IMPORTRANGE(""https://docs.google.com/spreadsheets/d/1rG8iy-kKSFDxhVaU60GJ2bpXc8tZqI1bT8U0Ac0DWTU/edit?usp=sharing"",""REGISTRATION!C:AB""),26,FALSE)
=""No"",
""No Candy"",
""""
),
""""
)"),"")</f>
        <v/>
      </c>
      <c r="F38" s="32" t="str">
        <f>IFERROR(__xludf.DUMMYFUNCTION("IFNA(VLOOKUP(C38,IMPORTRANGE(""https://docs.google.com/spreadsheets/d/1rG8iy-kKSFDxhVaU60GJ2bpXc8tZqI1bT8U0Ac0DWTU/edit?usp=sharing"",""REGISTRATION!C:V""),18,FALSE),"""")"),"")</f>
        <v/>
      </c>
      <c r="G38" s="32" t="str">
        <f>IFERROR(__xludf.DUMMYFUNCTION("IFNA(VLOOKUP(C38,IMPORTRANGE(""https://docs.google.com/spreadsheets/d/1rG8iy-kKSFDxhVaU60GJ2bpXc8tZqI1bT8U0Ac0DWTU/edit?usp=sharing"",""REGISTRATION!C:V""),20,FALSE),"""")"),"")</f>
        <v/>
      </c>
      <c r="H38" s="32" t="str">
        <f>IFERROR(__xludf.DUMMYFUNCTION("IFNA(VLOOKUP(C38,IMPORTRANGE(""https://docs.google.com/spreadsheets/d/1rG8iy-kKSFDxhVaU60GJ2bpXc8tZqI1bT8U0Ac0DWTU/edit?usp=sharing"",""REGISTRATION!C:V""),19,FALSE),"""")"),"")</f>
        <v/>
      </c>
    </row>
    <row r="39">
      <c r="C39" s="67"/>
      <c r="D39" s="46" t="str">
        <f>IFERROR(__xludf.DUMMYFUNCTION("IFNA(
IF(
VLOOKUP(C39,IMPORTRANGE(""https://docs.google.com/spreadsheets/d/1rG8iy-kKSFDxhVaU60GJ2bpXc8tZqI1bT8U0Ac0DWTU/edit?usp=sharing"",""REGISTRATION!C:X""),22,FALSE)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39" s="66" t="str">
        <f>IFERROR(__xludf.DUMMYFUNCTION("IFNA(
IF(
VLOOKUP(C39,IMPORTRANGE(""https://docs.google.com/spreadsheets/d/1rG8iy-kKSFDxhVaU60GJ2bpXc8tZqI1bT8U0Ac0DWTU/edit?usp=sharing"",""REGISTRATION!C:AB""),26,FALSE)
=""No"",
""No Candy"",
""""
),
""""
)"),"")</f>
        <v/>
      </c>
      <c r="F39" s="32" t="str">
        <f>IFERROR(__xludf.DUMMYFUNCTION("IFNA(VLOOKUP(C39,IMPORTRANGE(""https://docs.google.com/spreadsheets/d/1rG8iy-kKSFDxhVaU60GJ2bpXc8tZqI1bT8U0Ac0DWTU/edit?usp=sharing"",""REGISTRATION!C:V""),18,FALSE),"""")"),"")</f>
        <v/>
      </c>
      <c r="G39" s="32" t="str">
        <f>IFERROR(__xludf.DUMMYFUNCTION("IFNA(VLOOKUP(C39,IMPORTRANGE(""https://docs.google.com/spreadsheets/d/1rG8iy-kKSFDxhVaU60GJ2bpXc8tZqI1bT8U0Ac0DWTU/edit?usp=sharing"",""REGISTRATION!C:V""),20,FALSE),"""")"),"")</f>
        <v/>
      </c>
      <c r="H39" s="32" t="str">
        <f>IFERROR(__xludf.DUMMYFUNCTION("IFNA(VLOOKUP(C39,IMPORTRANGE(""https://docs.google.com/spreadsheets/d/1rG8iy-kKSFDxhVaU60GJ2bpXc8tZqI1bT8U0Ac0DWTU/edit?usp=sharing"",""REGISTRATION!C:V""),19,FALSE),"""")"),"")</f>
        <v/>
      </c>
    </row>
    <row r="40">
      <c r="C40" s="67"/>
      <c r="D40" s="46" t="str">
        <f>IFERROR(__xludf.DUMMYFUNCTION("IFNA(
IF(
VLOOKUP(C40,IMPORTRANGE(""https://docs.google.com/spreadsheets/d/1rG8iy-kKSFDxhVaU60GJ2bpXc8tZqI1bT8U0Ac0DWTU/edit?usp=sharing"",""REGISTRATION!C:X""),22,FALSE)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40" s="66" t="str">
        <f>IFERROR(__xludf.DUMMYFUNCTION("IFNA(
IF(
VLOOKUP(C40,IMPORTRANGE(""https://docs.google.com/spreadsheets/d/1rG8iy-kKSFDxhVaU60GJ2bpXc8tZqI1bT8U0Ac0DWTU/edit?usp=sharing"",""REGISTRATION!C:AB""),26,FALSE)
=""No"",
""No Candy"",
""""
),
""""
)"),"")</f>
        <v/>
      </c>
      <c r="F40" s="32" t="str">
        <f>IFERROR(__xludf.DUMMYFUNCTION("IFNA(VLOOKUP(C40,IMPORTRANGE(""https://docs.google.com/spreadsheets/d/1rG8iy-kKSFDxhVaU60GJ2bpXc8tZqI1bT8U0Ac0DWTU/edit?usp=sharing"",""REGISTRATION!C:V""),18,FALSE),"""")"),"")</f>
        <v/>
      </c>
      <c r="G40" s="32" t="str">
        <f>IFERROR(__xludf.DUMMYFUNCTION("IFNA(VLOOKUP(C40,IMPORTRANGE(""https://docs.google.com/spreadsheets/d/1rG8iy-kKSFDxhVaU60GJ2bpXc8tZqI1bT8U0Ac0DWTU/edit?usp=sharing"",""REGISTRATION!C:V""),20,FALSE),"""")"),"")</f>
        <v/>
      </c>
      <c r="H40" s="32" t="str">
        <f>IFERROR(__xludf.DUMMYFUNCTION("IFNA(VLOOKUP(C40,IMPORTRANGE(""https://docs.google.com/spreadsheets/d/1rG8iy-kKSFDxhVaU60GJ2bpXc8tZqI1bT8U0Ac0DWTU/edit?usp=sharing"",""REGISTRATION!C:V""),19,FALSE),"""")"),"")</f>
        <v/>
      </c>
    </row>
    <row r="41">
      <c r="C41" s="67"/>
      <c r="D41" s="46" t="str">
        <f>IFERROR(__xludf.DUMMYFUNCTION("IFNA(
IF(
VLOOKUP(C41,IMPORTRANGE(""https://docs.google.com/spreadsheets/d/1rG8iy-kKSFDxhVaU60GJ2bpXc8tZqI1bT8U0Ac0DWTU/edit?usp=sharing"",""REGISTRATION!C:X""),22,FALSE)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41" s="66" t="str">
        <f>IFERROR(__xludf.DUMMYFUNCTION("IFNA(
IF(
VLOOKUP(C41,IMPORTRANGE(""https://docs.google.com/spreadsheets/d/1rG8iy-kKSFDxhVaU60GJ2bpXc8tZqI1bT8U0Ac0DWTU/edit?usp=sharing"",""REGISTRATION!C:AB""),26,FALSE)
=""No"",
""No Candy"",
""""
),
""""
)"),"")</f>
        <v/>
      </c>
      <c r="F41" s="32" t="str">
        <f>IFERROR(__xludf.DUMMYFUNCTION("IFNA(VLOOKUP(C41,IMPORTRANGE(""https://docs.google.com/spreadsheets/d/1rG8iy-kKSFDxhVaU60GJ2bpXc8tZqI1bT8U0Ac0DWTU/edit?usp=sharing"",""REGISTRATION!C:V""),18,FALSE),"""")"),"")</f>
        <v/>
      </c>
      <c r="G41" s="32" t="str">
        <f>IFERROR(__xludf.DUMMYFUNCTION("IFNA(VLOOKUP(C41,IMPORTRANGE(""https://docs.google.com/spreadsheets/d/1rG8iy-kKSFDxhVaU60GJ2bpXc8tZqI1bT8U0Ac0DWTU/edit?usp=sharing"",""REGISTRATION!C:V""),20,FALSE),"""")"),"")</f>
        <v/>
      </c>
      <c r="H41" s="32" t="str">
        <f>IFERROR(__xludf.DUMMYFUNCTION("IFNA(VLOOKUP(C41,IMPORTRANGE(""https://docs.google.com/spreadsheets/d/1rG8iy-kKSFDxhVaU60GJ2bpXc8tZqI1bT8U0Ac0DWTU/edit?usp=sharing"",""REGISTRATION!C:V""),19,FALSE),"""")"),"")</f>
        <v/>
      </c>
    </row>
    <row r="42">
      <c r="C42" s="67"/>
      <c r="D42" s="46" t="str">
        <f>IFERROR(__xludf.DUMMYFUNCTION("IFNA(
IF(
VLOOKUP(C42,IMPORTRANGE(""https://docs.google.com/spreadsheets/d/1rG8iy-kKSFDxhVaU60GJ2bpXc8tZqI1bT8U0Ac0DWTU/edit?usp=sharing"",""REGISTRATION!C:X""),22,FALSE)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42" s="66" t="str">
        <f>IFERROR(__xludf.DUMMYFUNCTION("IFNA(
IF(
VLOOKUP(C42,IMPORTRANGE(""https://docs.google.com/spreadsheets/d/1rG8iy-kKSFDxhVaU60GJ2bpXc8tZqI1bT8U0Ac0DWTU/edit?usp=sharing"",""REGISTRATION!C:AB""),26,FALSE)
=""No"",
""No Candy"",
""""
),
""""
)"),"")</f>
        <v/>
      </c>
      <c r="F42" s="32" t="str">
        <f>IFERROR(__xludf.DUMMYFUNCTION("IFNA(VLOOKUP(C42,IMPORTRANGE(""https://docs.google.com/spreadsheets/d/1rG8iy-kKSFDxhVaU60GJ2bpXc8tZqI1bT8U0Ac0DWTU/edit?usp=sharing"",""REGISTRATION!C:V""),18,FALSE),"""")"),"")</f>
        <v/>
      </c>
      <c r="G42" s="32" t="str">
        <f>IFERROR(__xludf.DUMMYFUNCTION("IFNA(VLOOKUP(C42,IMPORTRANGE(""https://docs.google.com/spreadsheets/d/1rG8iy-kKSFDxhVaU60GJ2bpXc8tZqI1bT8U0Ac0DWTU/edit?usp=sharing"",""REGISTRATION!C:V""),20,FALSE),"""")"),"")</f>
        <v/>
      </c>
      <c r="H42" s="32" t="str">
        <f>IFERROR(__xludf.DUMMYFUNCTION("IFNA(VLOOKUP(C42,IMPORTRANGE(""https://docs.google.com/spreadsheets/d/1rG8iy-kKSFDxhVaU60GJ2bpXc8tZqI1bT8U0Ac0DWTU/edit?usp=sharing"",""REGISTRATION!C:V""),19,FALSE),"""")"),"")</f>
        <v/>
      </c>
    </row>
    <row r="43">
      <c r="C43" s="67"/>
      <c r="D43" s="46" t="str">
        <f>IFERROR(__xludf.DUMMYFUNCTION("IFNA(
IF(
VLOOKUP(C43,IMPORTRANGE(""https://docs.google.com/spreadsheets/d/1rG8iy-kKSFDxhVaU60GJ2bpXc8tZqI1bT8U0Ac0DWTU/edit?usp=sharing"",""REGISTRATION!C:X""),22,FALSE)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43" s="66" t="str">
        <f>IFERROR(__xludf.DUMMYFUNCTION("IFNA(
IF(
VLOOKUP(C43,IMPORTRANGE(""https://docs.google.com/spreadsheets/d/1rG8iy-kKSFDxhVaU60GJ2bpXc8tZqI1bT8U0Ac0DWTU/edit?usp=sharing"",""REGISTRATION!C:AB""),26,FALSE)
=""No"",
""No Candy"",
""""
),
""""
)"),"")</f>
        <v/>
      </c>
      <c r="F43" s="32" t="str">
        <f>IFERROR(__xludf.DUMMYFUNCTION("IFNA(VLOOKUP(C43,IMPORTRANGE(""https://docs.google.com/spreadsheets/d/1rG8iy-kKSFDxhVaU60GJ2bpXc8tZqI1bT8U0Ac0DWTU/edit?usp=sharing"",""REGISTRATION!C:V""),18,FALSE),"""")"),"")</f>
        <v/>
      </c>
      <c r="G43" s="32" t="str">
        <f>IFERROR(__xludf.DUMMYFUNCTION("IFNA(VLOOKUP(C43,IMPORTRANGE(""https://docs.google.com/spreadsheets/d/1rG8iy-kKSFDxhVaU60GJ2bpXc8tZqI1bT8U0Ac0DWTU/edit?usp=sharing"",""REGISTRATION!C:V""),20,FALSE),"""")"),"")</f>
        <v/>
      </c>
      <c r="H43" s="32" t="str">
        <f>IFERROR(__xludf.DUMMYFUNCTION("IFNA(VLOOKUP(C43,IMPORTRANGE(""https://docs.google.com/spreadsheets/d/1rG8iy-kKSFDxhVaU60GJ2bpXc8tZqI1bT8U0Ac0DWTU/edit?usp=sharing"",""REGISTRATION!C:V""),19,FALSE),"""")"),"")</f>
        <v/>
      </c>
    </row>
    <row r="44">
      <c r="A44" s="15" t="s">
        <v>68</v>
      </c>
      <c r="B44" s="15" t="s">
        <v>233</v>
      </c>
      <c r="C44" s="68" t="s">
        <v>92</v>
      </c>
      <c r="D44" s="21" t="str">
        <f>IFERROR(__xludf.DUMMYFUNCTION("IFNA(
IF(
VLOOKUP(C44,IMPORTRANGE(""https://docs.google.com/spreadsheets/d/1rG8iy-kKSFDxhVaU60GJ2bpXc8tZqI1bT8U0Ac0DWTU/edit?usp=sharing"",""REGISTRATION!C:X""),22,FALSE)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44" s="22" t="str">
        <f>IFERROR(__xludf.DUMMYFUNCTION("IFNA(
IF(
VLOOKUP(C44,IMPORTRANGE(""https://docs.google.com/spreadsheets/d/1rG8iy-kKSFDxhVaU60GJ2bpXc8tZqI1bT8U0Ac0DWTU/edit?usp=sharing"",""REGISTRATION!C:AB""),26,FALSE)
=""No"",
""No Candy"",
""""
),
""""
)"),"")</f>
        <v/>
      </c>
      <c r="F44" s="21" t="str">
        <f>IFERROR(__xludf.DUMMYFUNCTION("IFNA(VLOOKUP(C44,IMPORTRANGE(""https://docs.google.com/spreadsheets/d/1rG8iy-kKSFDxhVaU60GJ2bpXc8tZqI1bT8U0Ac0DWTU/edit?usp=sharing"",""REGISTRATION!C:V""),18,FALSE),"""")"),"None")</f>
        <v>None</v>
      </c>
      <c r="G44" s="69" t="str">
        <f>IFERROR(__xludf.DUMMYFUNCTION("IFNA(VLOOKUP(C44,IMPORTRANGE(""https://docs.google.com/spreadsheets/d/1rG8iy-kKSFDxhVaU60GJ2bpXc8tZqI1bT8U0Ac0DWTU/edit?usp=sharing"",""REGISTRATION!C:V""),20,FALSE),"""")"),"None")</f>
        <v>None</v>
      </c>
      <c r="H44" s="69" t="str">
        <f>IFERROR(__xludf.DUMMYFUNCTION("IFNA(VLOOKUP(C44,IMPORTRANGE(""https://docs.google.com/spreadsheets/d/1rG8iy-kKSFDxhVaU60GJ2bpXc8tZqI1bT8U0Ac0DWTU/edit?usp=sharing"",""REGISTRATION!C:V""),19,FALSE),"""")"),"None")</f>
        <v>None</v>
      </c>
    </row>
    <row r="45">
      <c r="C45" s="68" t="s">
        <v>234</v>
      </c>
      <c r="D45" s="21" t="str">
        <f>IFERROR(__xludf.DUMMYFUNCTION("IFNA(
IF(
VLOOKUP(C45,IMPORTRANGE(""https://docs.google.com/spreadsheets/d/1rG8iy-kKSFDxhVaU60GJ2bpXc8tZqI1bT8U0Ac0DWTU/edit?usp=sharing"",""REGISTRATION!C:X""),22,FALSE)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45" s="22" t="str">
        <f>IFERROR(__xludf.DUMMYFUNCTION("IFNA(
IF(
VLOOKUP(C45,IMPORTRANGE(""https://docs.google.com/spreadsheets/d/1rG8iy-kKSFDxhVaU60GJ2bpXc8tZqI1bT8U0Ac0DWTU/edit?usp=sharing"",""REGISTRATION!C:AB""),26,FALSE)
=""No"",
""No Candy"",
""""
),
""""
)"),"")</f>
        <v/>
      </c>
      <c r="F45" s="21" t="str">
        <f>IFERROR(__xludf.DUMMYFUNCTION("IFNA(VLOOKUP(C45,IMPORTRANGE(""https://docs.google.com/spreadsheets/d/1rG8iy-kKSFDxhVaU60GJ2bpXc8tZqI1bT8U0Ac0DWTU/edit?usp=sharing"",""REGISTRATION!C:V""),18,FALSE),"""")"),"None")</f>
        <v>None</v>
      </c>
      <c r="G45" s="69" t="str">
        <f>IFERROR(__xludf.DUMMYFUNCTION("IFNA(VLOOKUP(C45,IMPORTRANGE(""https://docs.google.com/spreadsheets/d/1rG8iy-kKSFDxhVaU60GJ2bpXc8tZqI1bT8U0Ac0DWTU/edit?usp=sharing"",""REGISTRATION!C:V""),20,FALSE),"""")"),"")</f>
        <v/>
      </c>
      <c r="H45" s="69" t="str">
        <f>IFERROR(__xludf.DUMMYFUNCTION("IFNA(VLOOKUP(C45,IMPORTRANGE(""https://docs.google.com/spreadsheets/d/1rG8iy-kKSFDxhVaU60GJ2bpXc8tZqI1bT8U0Ac0DWTU/edit?usp=sharing"",""REGISTRATION!C:V""),19,FALSE),"""")"),"None")</f>
        <v>None</v>
      </c>
    </row>
    <row r="46">
      <c r="C46" s="68" t="s">
        <v>235</v>
      </c>
      <c r="D46" s="21" t="str">
        <f>IFERROR(__xludf.DUMMYFUNCTION("IFNA(
IF(
VLOOKUP(C46,IMPORTRANGE(""https://docs.google.com/spreadsheets/d/1rG8iy-kKSFDxhVaU60GJ2bpXc8tZqI1bT8U0Ac0DWTU/edit?usp=sharing"",""REGISTRATION!C:X""),22,FALSE)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46" s="22" t="str">
        <f>IFERROR(__xludf.DUMMYFUNCTION("IFNA(
IF(
VLOOKUP(C46,IMPORTRANGE(""https://docs.google.com/spreadsheets/d/1rG8iy-kKSFDxhVaU60GJ2bpXc8tZqI1bT8U0Ac0DWTU/edit?usp=sharing"",""REGISTRATION!C:AB""),26,FALSE)
=""No"",
""No Candy"",
""""
),
""""
)"),"No Candy")</f>
        <v>No Candy</v>
      </c>
      <c r="F46" s="21" t="str">
        <f>IFERROR(__xludf.DUMMYFUNCTION("IFNA(VLOOKUP(C46,IMPORTRANGE(""https://docs.google.com/spreadsheets/d/1rG8iy-kKSFDxhVaU60GJ2bpXc8tZqI1bT8U0Ac0DWTU/edit?usp=sharing"",""REGISTRATION!C:V""),18,FALSE),"""")"),"None")</f>
        <v>None</v>
      </c>
      <c r="G46" s="69" t="str">
        <f>IFERROR(__xludf.DUMMYFUNCTION("IFNA(VLOOKUP(C46,IMPORTRANGE(""https://docs.google.com/spreadsheets/d/1rG8iy-kKSFDxhVaU60GJ2bpXc8tZqI1bT8U0Ac0DWTU/edit?usp=sharing"",""REGISTRATION!C:V""),20,FALSE),"""")"),"")</f>
        <v/>
      </c>
      <c r="H46" s="69" t="str">
        <f>IFERROR(__xludf.DUMMYFUNCTION("IFNA(VLOOKUP(C46,IMPORTRANGE(""https://docs.google.com/spreadsheets/d/1rG8iy-kKSFDxhVaU60GJ2bpXc8tZqI1bT8U0Ac0DWTU/edit?usp=sharing"",""REGISTRATION!C:V""),19,FALSE),"""")"),"None")</f>
        <v>None</v>
      </c>
    </row>
    <row r="47">
      <c r="C47" s="68" t="s">
        <v>205</v>
      </c>
      <c r="D47" s="21" t="str">
        <f>IFERROR(__xludf.DUMMYFUNCTION("IFNA(
IF(
VLOOKUP(C47,IMPORTRANGE(""https://docs.google.com/spreadsheets/d/1rG8iy-kKSFDxhVaU60GJ2bpXc8tZqI1bT8U0Ac0DWTU/edit?usp=sharing"",""REGISTRATION!C:X""),22,FALSE)
=""I qualify for Free and Reduced Lunch and WOULD like lunch to be provided for my c"&amp;"hild."",
""Yes"",
""""
),
""""
)"),"Yes")</f>
        <v>Yes</v>
      </c>
      <c r="E47" s="22" t="str">
        <f>IFERROR(__xludf.DUMMYFUNCTION("IFNA(
IF(
VLOOKUP(C47,IMPORTRANGE(""https://docs.google.com/spreadsheets/d/1rG8iy-kKSFDxhVaU60GJ2bpXc8tZqI1bT8U0Ac0DWTU/edit?usp=sharing"",""REGISTRATION!C:AB""),26,FALSE)
=""No"",
""No Candy"",
""""
),
""""
)"),"")</f>
        <v/>
      </c>
      <c r="F47" s="21" t="str">
        <f>IFERROR(__xludf.DUMMYFUNCTION("IFNA(VLOOKUP(C47,IMPORTRANGE(""https://docs.google.com/spreadsheets/d/1rG8iy-kKSFDxhVaU60GJ2bpXc8tZqI1bT8U0Ac0DWTU/edit?usp=sharing"",""REGISTRATION!C:V""),18,FALSE),"""")"),"None")</f>
        <v>None</v>
      </c>
      <c r="G47" s="69" t="str">
        <f>IFERROR(__xludf.DUMMYFUNCTION("IFNA(VLOOKUP(C47,IMPORTRANGE(""https://docs.google.com/spreadsheets/d/1rG8iy-kKSFDxhVaU60GJ2bpXc8tZqI1bT8U0Ac0DWTU/edit?usp=sharing"",""REGISTRATION!C:V""),20,FALSE),"""")"),"")</f>
        <v/>
      </c>
      <c r="H47" s="69" t="str">
        <f>IFERROR(__xludf.DUMMYFUNCTION("IFNA(VLOOKUP(C47,IMPORTRANGE(""https://docs.google.com/spreadsheets/d/1rG8iy-kKSFDxhVaU60GJ2bpXc8tZqI1bT8U0Ac0DWTU/edit?usp=sharing"",""REGISTRATION!C:V""),19,FALSE),"""")"),"None")</f>
        <v>None</v>
      </c>
    </row>
    <row r="48">
      <c r="C48" s="68" t="s">
        <v>214</v>
      </c>
      <c r="D48" s="21" t="str">
        <f>IFERROR(__xludf.DUMMYFUNCTION("IFNA(
IF(
VLOOKUP(C48,IMPORTRANGE(""https://docs.google.com/spreadsheets/d/1rG8iy-kKSFDxhVaU60GJ2bpXc8tZqI1bT8U0Ac0DWTU/edit?usp=sharing"",""REGISTRATION!C:X""),22,FALSE)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48" s="22" t="str">
        <f>IFERROR(__xludf.DUMMYFUNCTION("IFNA(
IF(
VLOOKUP(C48,IMPORTRANGE(""https://docs.google.com/spreadsheets/d/1rG8iy-kKSFDxhVaU60GJ2bpXc8tZqI1bT8U0Ac0DWTU/edit?usp=sharing"",""REGISTRATION!C:AB""),26,FALSE)
=""No"",
""No Candy"",
""""
),
""""
)"),"")</f>
        <v/>
      </c>
      <c r="F48" s="21" t="str">
        <f>IFERROR(__xludf.DUMMYFUNCTION("IFNA(VLOOKUP(C48,IMPORTRANGE(""https://docs.google.com/spreadsheets/d/1rG8iy-kKSFDxhVaU60GJ2bpXc8tZqI1bT8U0Ac0DWTU/edit?usp=sharing"",""REGISTRATION!C:V""),18,FALSE),"""")"),"None")</f>
        <v>None</v>
      </c>
      <c r="G48" s="69" t="str">
        <f>IFERROR(__xludf.DUMMYFUNCTION("IFNA(VLOOKUP(C48,IMPORTRANGE(""https://docs.google.com/spreadsheets/d/1rG8iy-kKSFDxhVaU60GJ2bpXc8tZqI1bT8U0Ac0DWTU/edit?usp=sharing"",""REGISTRATION!C:V""),20,FALSE),"""")"),"Oliver is very eager to learn and excited ")</f>
        <v>Oliver is very eager to learn and excited </v>
      </c>
      <c r="H48" s="69" t="str">
        <f>IFERROR(__xludf.DUMMYFUNCTION("IFNA(VLOOKUP(C48,IMPORTRANGE(""https://docs.google.com/spreadsheets/d/1rG8iy-kKSFDxhVaU60GJ2bpXc8tZqI1bT8U0Ac0DWTU/edit?usp=sharing"",""REGISTRATION!C:V""),19,FALSE),"""")"),"None")</f>
        <v>None</v>
      </c>
    </row>
    <row r="49">
      <c r="C49" s="68" t="s">
        <v>236</v>
      </c>
      <c r="D49" s="21" t="str">
        <f>IFERROR(__xludf.DUMMYFUNCTION("IFNA(
IF(
VLOOKUP(C49,IMPORTRANGE(""https://docs.google.com/spreadsheets/d/1rG8iy-kKSFDxhVaU60GJ2bpXc8tZqI1bT8U0Ac0DWTU/edit?usp=sharing"",""REGISTRATION!C:X""),22,FALSE)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49" s="22" t="str">
        <f>IFERROR(__xludf.DUMMYFUNCTION("IFNA(
IF(
VLOOKUP(C49,IMPORTRANGE(""https://docs.google.com/spreadsheets/d/1rG8iy-kKSFDxhVaU60GJ2bpXc8tZqI1bT8U0Ac0DWTU/edit?usp=sharing"",""REGISTRATION!C:AB""),26,FALSE)
=""No"",
""No Candy"",
""""
),
""""
)"),"")</f>
        <v/>
      </c>
      <c r="F49" s="21" t="str">
        <f>IFERROR(__xludf.DUMMYFUNCTION("IFNA(VLOOKUP(C49,IMPORTRANGE(""https://docs.google.com/spreadsheets/d/1rG8iy-kKSFDxhVaU60GJ2bpXc8tZqI1bT8U0Ac0DWTU/edit?usp=sharing"",""REGISTRATION!C:V""),18,FALSE),"""")"),"None")</f>
        <v>None</v>
      </c>
      <c r="G49" s="69" t="str">
        <f>IFERROR(__xludf.DUMMYFUNCTION("IFNA(VLOOKUP(C49,IMPORTRANGE(""https://docs.google.com/spreadsheets/d/1rG8iy-kKSFDxhVaU60GJ2bpXc8tZqI1bT8U0Ac0DWTU/edit?usp=sharing"",""REGISTRATION!C:V""),20,FALSE),"""")"),"")</f>
        <v/>
      </c>
      <c r="H49" s="69" t="str">
        <f>IFERROR(__xludf.DUMMYFUNCTION("IFNA(VLOOKUP(C49,IMPORTRANGE(""https://docs.google.com/spreadsheets/d/1rG8iy-kKSFDxhVaU60GJ2bpXc8tZqI1bT8U0Ac0DWTU/edit?usp=sharing"",""REGISTRATION!C:V""),19,FALSE),"""")"),"None")</f>
        <v>None</v>
      </c>
    </row>
    <row r="50">
      <c r="C50" s="68" t="s">
        <v>237</v>
      </c>
      <c r="D50" s="21" t="str">
        <f>IFERROR(__xludf.DUMMYFUNCTION("IFNA(
IF(
VLOOKUP(C50,IMPORTRANGE(""https://docs.google.com/spreadsheets/d/1rG8iy-kKSFDxhVaU60GJ2bpXc8tZqI1bT8U0Ac0DWTU/edit?usp=sharing"",""REGISTRATION!C:X""),22,FALSE)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50" s="22" t="str">
        <f>IFERROR(__xludf.DUMMYFUNCTION("IFNA(
IF(
VLOOKUP(C50,IMPORTRANGE(""https://docs.google.com/spreadsheets/d/1rG8iy-kKSFDxhVaU60GJ2bpXc8tZqI1bT8U0Ac0DWTU/edit?usp=sharing"",""REGISTRATION!C:AB""),26,FALSE)
=""No"",
""No Candy"",
""""
),
""""
)"),"")</f>
        <v/>
      </c>
      <c r="F50" s="21" t="str">
        <f>IFERROR(__xludf.DUMMYFUNCTION("IFNA(VLOOKUP(C50,IMPORTRANGE(""https://docs.google.com/spreadsheets/d/1rG8iy-kKSFDxhVaU60GJ2bpXc8tZqI1bT8U0Ac0DWTU/edit?usp=sharing"",""REGISTRATION!C:V""),18,FALSE),"""")"),"None")</f>
        <v>None</v>
      </c>
      <c r="G50" s="69" t="str">
        <f>IFERROR(__xludf.DUMMYFUNCTION("IFNA(VLOOKUP(C50,IMPORTRANGE(""https://docs.google.com/spreadsheets/d/1rG8iy-kKSFDxhVaU60GJ2bpXc8tZqI1bT8U0Ac0DWTU/edit?usp=sharing"",""REGISTRATION!C:V""),20,FALSE),"""")"),"")</f>
        <v/>
      </c>
      <c r="H50" s="69" t="str">
        <f>IFERROR(__xludf.DUMMYFUNCTION("IFNA(VLOOKUP(C50,IMPORTRANGE(""https://docs.google.com/spreadsheets/d/1rG8iy-kKSFDxhVaU60GJ2bpXc8tZqI1bT8U0Ac0DWTU/edit?usp=sharing"",""REGISTRATION!C:V""),19,FALSE),"""")"),"Elliot has dyslexia, dysgraphia, and dyscalculia - but despite this does well in school.  His 504 helps him by offering a speech to text option when needed.  It doesn't seem to be a problem for tech class because it is such an interest point for him.  ")</f>
        <v>Elliot has dyslexia, dysgraphia, and dyscalculia - but despite this does well in school.  His 504 helps him by offering a speech to text option when needed.  It doesn't seem to be a problem for tech class because it is such an interest point for him.  </v>
      </c>
    </row>
    <row r="51">
      <c r="C51" s="68" t="s">
        <v>215</v>
      </c>
      <c r="D51" s="21" t="str">
        <f>IFERROR(__xludf.DUMMYFUNCTION("IFNA(
IF(
VLOOKUP(C51,IMPORTRANGE(""https://docs.google.com/spreadsheets/d/1rG8iy-kKSFDxhVaU60GJ2bpXc8tZqI1bT8U0Ac0DWTU/edit?usp=sharing"",""REGISTRATION!C:X""),22,FALSE)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51" s="22" t="str">
        <f>IFERROR(__xludf.DUMMYFUNCTION("IFNA(
IF(
VLOOKUP(C51,IMPORTRANGE(""https://docs.google.com/spreadsheets/d/1rG8iy-kKSFDxhVaU60GJ2bpXc8tZqI1bT8U0Ac0DWTU/edit?usp=sharing"",""REGISTRATION!C:AB""),26,FALSE)
=""No"",
""No Candy"",
""""
),
""""
)"),"")</f>
        <v/>
      </c>
      <c r="F51" s="21" t="str">
        <f>IFERROR(__xludf.DUMMYFUNCTION("IFNA(VLOOKUP(C51,IMPORTRANGE(""https://docs.google.com/spreadsheets/d/1rG8iy-kKSFDxhVaU60GJ2bpXc8tZqI1bT8U0Ac0DWTU/edit?usp=sharing"",""REGISTRATION!C:V""),18,FALSE),"""")"),"None")</f>
        <v>None</v>
      </c>
      <c r="G51" s="69" t="str">
        <f>IFERROR(__xludf.DUMMYFUNCTION("IFNA(VLOOKUP(C51,IMPORTRANGE(""https://docs.google.com/spreadsheets/d/1rG8iy-kKSFDxhVaU60GJ2bpXc8tZqI1bT8U0Ac0DWTU/edit?usp=sharing"",""REGISTRATION!C:V""),20,FALSE),"""")"),"")</f>
        <v/>
      </c>
      <c r="H51" s="69" t="str">
        <f>IFERROR(__xludf.DUMMYFUNCTION("IFNA(VLOOKUP(C51,IMPORTRANGE(""https://docs.google.com/spreadsheets/d/1rG8iy-kKSFDxhVaU60GJ2bpXc8tZqI1bT8U0Ac0DWTU/edit?usp=sharing"",""REGISTRATION!C:V""),19,FALSE),"""")"),"None")</f>
        <v>None</v>
      </c>
    </row>
    <row r="52">
      <c r="C52" s="68" t="s">
        <v>169</v>
      </c>
      <c r="D52" s="21" t="str">
        <f>IFERROR(__xludf.DUMMYFUNCTION("IFNA(
IF(
VLOOKUP(C52,IMPORTRANGE(""https://docs.google.com/spreadsheets/d/1rG8iy-kKSFDxhVaU60GJ2bpXc8tZqI1bT8U0Ac0DWTU/edit?usp=sharing"",""REGISTRATION!C:X""),22,FALSE)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52" s="22" t="str">
        <f>IFERROR(__xludf.DUMMYFUNCTION("IFNA(
IF(
VLOOKUP(C52,IMPORTRANGE(""https://docs.google.com/spreadsheets/d/1rG8iy-kKSFDxhVaU60GJ2bpXc8tZqI1bT8U0Ac0DWTU/edit?usp=sharing"",""REGISTRATION!C:AB""),26,FALSE)
=""No"",
""No Candy"",
""""
),
""""
)"),"")</f>
        <v/>
      </c>
      <c r="F52" s="21" t="str">
        <f>IFERROR(__xludf.DUMMYFUNCTION("IFNA(VLOOKUP(C52,IMPORTRANGE(""https://docs.google.com/spreadsheets/d/1rG8iy-kKSFDxhVaU60GJ2bpXc8tZqI1bT8U0Ac0DWTU/edit?usp=sharing"",""REGISTRATION!C:V""),18,FALSE),"""")"),"All nuts")</f>
        <v>All nuts</v>
      </c>
      <c r="G52" s="69" t="str">
        <f>IFERROR(__xludf.DUMMYFUNCTION("IFNA(VLOOKUP(C52,IMPORTRANGE(""https://docs.google.com/spreadsheets/d/1rG8iy-kKSFDxhVaU60GJ2bpXc8tZqI1bT8U0Ac0DWTU/edit?usp=sharing"",""REGISTRATION!C:V""),20,FALSE),"""")"),"")</f>
        <v/>
      </c>
      <c r="H52" s="69" t="str">
        <f>IFERROR(__xludf.DUMMYFUNCTION("IFNA(VLOOKUP(C52,IMPORTRANGE(""https://docs.google.com/spreadsheets/d/1rG8iy-kKSFDxhVaU60GJ2bpXc8tZqI1bT8U0Ac0DWTU/edit?usp=sharing"",""REGISTRATION!C:V""),19,FALSE),"""")"),"None")</f>
        <v>None</v>
      </c>
    </row>
    <row r="53">
      <c r="C53" s="68" t="s">
        <v>238</v>
      </c>
      <c r="D53" s="21" t="str">
        <f>IFERROR(__xludf.DUMMYFUNCTION("IFNA(
IF(
VLOOKUP(C53,IMPORTRANGE(""https://docs.google.com/spreadsheets/d/1rG8iy-kKSFDxhVaU60GJ2bpXc8tZqI1bT8U0Ac0DWTU/edit?usp=sharing"",""REGISTRATION!C:X""),22,FALSE)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53" s="22" t="str">
        <f>IFERROR(__xludf.DUMMYFUNCTION("IFNA(
IF(
VLOOKUP(C53,IMPORTRANGE(""https://docs.google.com/spreadsheets/d/1rG8iy-kKSFDxhVaU60GJ2bpXc8tZqI1bT8U0Ac0DWTU/edit?usp=sharing"",""REGISTRATION!C:AB""),26,FALSE)
=""No"",
""No Candy"",
""""
),
""""
)"),"")</f>
        <v/>
      </c>
      <c r="F53" s="21" t="str">
        <f>IFERROR(__xludf.DUMMYFUNCTION("IFNA(VLOOKUP(C53,IMPORTRANGE(""https://docs.google.com/spreadsheets/d/1rG8iy-kKSFDxhVaU60GJ2bpXc8tZqI1bT8U0Ac0DWTU/edit?usp=sharing"",""REGISTRATION!C:V""),18,FALSE),"""")"),"No beef")</f>
        <v>No beef</v>
      </c>
      <c r="G53" s="69" t="str">
        <f>IFERROR(__xludf.DUMMYFUNCTION("IFNA(VLOOKUP(C53,IMPORTRANGE(""https://docs.google.com/spreadsheets/d/1rG8iy-kKSFDxhVaU60GJ2bpXc8tZqI1bT8U0Ac0DWTU/edit?usp=sharing"",""REGISTRATION!C:V""),20,FALSE),"""")"),"")</f>
        <v/>
      </c>
      <c r="H53" s="69" t="str">
        <f>IFERROR(__xludf.DUMMYFUNCTION("IFNA(VLOOKUP(C53,IMPORTRANGE(""https://docs.google.com/spreadsheets/d/1rG8iy-kKSFDxhVaU60GJ2bpXc8tZqI1bT8U0Ac0DWTU/edit?usp=sharing"",""REGISTRATION!C:V""),19,FALSE),"""")"),"None")</f>
        <v>None</v>
      </c>
    </row>
    <row r="54">
      <c r="C54" s="68" t="s">
        <v>116</v>
      </c>
      <c r="D54" s="21" t="str">
        <f>IFERROR(__xludf.DUMMYFUNCTION("IFNA(
IF(
VLOOKUP(C54,IMPORTRANGE(""https://docs.google.com/spreadsheets/d/1rG8iy-kKSFDxhVaU60GJ2bpXc8tZqI1bT8U0Ac0DWTU/edit?usp=sharing"",""REGISTRATION!C:X""),22,FALSE)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54" s="22" t="str">
        <f>IFERROR(__xludf.DUMMYFUNCTION("IFNA(
IF(
VLOOKUP(C54,IMPORTRANGE(""https://docs.google.com/spreadsheets/d/1rG8iy-kKSFDxhVaU60GJ2bpXc8tZqI1bT8U0Ac0DWTU/edit?usp=sharing"",""REGISTRATION!C:AB""),26,FALSE)
=""No"",
""No Candy"",
""""
),
""""
)"),"")</f>
        <v/>
      </c>
      <c r="F54" s="21" t="str">
        <f>IFERROR(__xludf.DUMMYFUNCTION("IFNA(VLOOKUP(C54,IMPORTRANGE(""https://docs.google.com/spreadsheets/d/1rG8iy-kKSFDxhVaU60GJ2bpXc8tZqI1bT8U0Ac0DWTU/edit?usp=sharing"",""REGISTRATION!C:V""),18,FALSE),"""")"),"None")</f>
        <v>None</v>
      </c>
      <c r="G54" s="69" t="str">
        <f>IFERROR(__xludf.DUMMYFUNCTION("IFNA(VLOOKUP(C54,IMPORTRANGE(""https://docs.google.com/spreadsheets/d/1rG8iy-kKSFDxhVaU60GJ2bpXc8tZqI1bT8U0Ac0DWTU/edit?usp=sharing"",""REGISTRATION!C:V""),20,FALSE),"""")"),"")</f>
        <v/>
      </c>
      <c r="H54" s="69" t="str">
        <f>IFERROR(__xludf.DUMMYFUNCTION("IFNA(VLOOKUP(C54,IMPORTRANGE(""https://docs.google.com/spreadsheets/d/1rG8iy-kKSFDxhVaU60GJ2bpXc8tZqI1bT8U0Ac0DWTU/edit?usp=sharing"",""REGISTRATION!C:V""),19,FALSE),"""")"),"None")</f>
        <v>None</v>
      </c>
    </row>
    <row r="55">
      <c r="C55" s="68"/>
      <c r="D55" s="21" t="str">
        <f>IFERROR(__xludf.DUMMYFUNCTION("IFNA(
IF(
VLOOKUP(C55,IMPORTRANGE(""https://docs.google.com/spreadsheets/d/1rG8iy-kKSFDxhVaU60GJ2bpXc8tZqI1bT8U0Ac0DWTU/edit?usp=sharing"",""REGISTRATION!C:X""),22,FALSE)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55" s="22" t="str">
        <f>IFERROR(__xludf.DUMMYFUNCTION("IFNA(
IF(
VLOOKUP(C55,IMPORTRANGE(""https://docs.google.com/spreadsheets/d/1rG8iy-kKSFDxhVaU60GJ2bpXc8tZqI1bT8U0Ac0DWTU/edit?usp=sharing"",""REGISTRATION!C:AB""),26,FALSE)
=""No"",
""No Candy"",
""""
),
""""
)"),"")</f>
        <v/>
      </c>
      <c r="F55" s="21" t="str">
        <f>IFERROR(__xludf.DUMMYFUNCTION("IFNA(VLOOKUP(C55,IMPORTRANGE(""https://docs.google.com/spreadsheets/d/1rG8iy-kKSFDxhVaU60GJ2bpXc8tZqI1bT8U0Ac0DWTU/edit?usp=sharing"",""REGISTRATION!C:V""),18,FALSE),"""")"),"")</f>
        <v/>
      </c>
      <c r="G55" s="69" t="str">
        <f>IFERROR(__xludf.DUMMYFUNCTION("IFNA(VLOOKUP(C55,IMPORTRANGE(""https://docs.google.com/spreadsheets/d/1rG8iy-kKSFDxhVaU60GJ2bpXc8tZqI1bT8U0Ac0DWTU/edit?usp=sharing"",""REGISTRATION!C:V""),20,FALSE),"""")"),"")</f>
        <v/>
      </c>
      <c r="H55" s="69" t="str">
        <f>IFERROR(__xludf.DUMMYFUNCTION("IFNA(VLOOKUP(C55,IMPORTRANGE(""https://docs.google.com/spreadsheets/d/1rG8iy-kKSFDxhVaU60GJ2bpXc8tZqI1bT8U0Ac0DWTU/edit?usp=sharing"",""REGISTRATION!C:V""),19,FALSE),"""")"),"")</f>
        <v/>
      </c>
    </row>
    <row r="56">
      <c r="C56" s="68"/>
      <c r="D56" s="21" t="str">
        <f>IFERROR(__xludf.DUMMYFUNCTION("IFNA(
IF(
VLOOKUP(C56,IMPORTRANGE(""https://docs.google.com/spreadsheets/d/1rG8iy-kKSFDxhVaU60GJ2bpXc8tZqI1bT8U0Ac0DWTU/edit?usp=sharing"",""REGISTRATION!C:X""),22,FALSE)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56" s="22" t="str">
        <f>IFERROR(__xludf.DUMMYFUNCTION("IFNA(
IF(
VLOOKUP(C56,IMPORTRANGE(""https://docs.google.com/spreadsheets/d/1rG8iy-kKSFDxhVaU60GJ2bpXc8tZqI1bT8U0Ac0DWTU/edit?usp=sharing"",""REGISTRATION!C:AB""),26,FALSE)
=""No"",
""No Candy"",
""""
),
""""
)"),"")</f>
        <v/>
      </c>
      <c r="F56" s="21" t="str">
        <f>IFERROR(__xludf.DUMMYFUNCTION("IFNA(VLOOKUP(C56,IMPORTRANGE(""https://docs.google.com/spreadsheets/d/1rG8iy-kKSFDxhVaU60GJ2bpXc8tZqI1bT8U0Ac0DWTU/edit?usp=sharing"",""REGISTRATION!C:V""),18,FALSE),"""")"),"")</f>
        <v/>
      </c>
      <c r="G56" s="69" t="str">
        <f>IFERROR(__xludf.DUMMYFUNCTION("IFNA(VLOOKUP(C56,IMPORTRANGE(""https://docs.google.com/spreadsheets/d/1rG8iy-kKSFDxhVaU60GJ2bpXc8tZqI1bT8U0Ac0DWTU/edit?usp=sharing"",""REGISTRATION!C:V""),20,FALSE),"""")"),"")</f>
        <v/>
      </c>
      <c r="H56" s="69" t="str">
        <f>IFERROR(__xludf.DUMMYFUNCTION("IFNA(VLOOKUP(C56,IMPORTRANGE(""https://docs.google.com/spreadsheets/d/1rG8iy-kKSFDxhVaU60GJ2bpXc8tZqI1bT8U0Ac0DWTU/edit?usp=sharing"",""REGISTRATION!C:V""),19,FALSE),"""")"),"")</f>
        <v/>
      </c>
    </row>
    <row r="57">
      <c r="C57" s="68"/>
      <c r="D57" s="21" t="str">
        <f>IFERROR(__xludf.DUMMYFUNCTION("IFNA(
IF(
VLOOKUP(C57,IMPORTRANGE(""https://docs.google.com/spreadsheets/d/1rG8iy-kKSFDxhVaU60GJ2bpXc8tZqI1bT8U0Ac0DWTU/edit?usp=sharing"",""REGISTRATION!C:X""),22,FALSE)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57" s="22" t="str">
        <f>IFERROR(__xludf.DUMMYFUNCTION("IFNA(
IF(
VLOOKUP(C57,IMPORTRANGE(""https://docs.google.com/spreadsheets/d/1rG8iy-kKSFDxhVaU60GJ2bpXc8tZqI1bT8U0Ac0DWTU/edit?usp=sharing"",""REGISTRATION!C:AB""),26,FALSE)
=""No"",
""No Candy"",
""""
),
""""
)"),"")</f>
        <v/>
      </c>
      <c r="F57" s="21" t="str">
        <f>IFERROR(__xludf.DUMMYFUNCTION("IFNA(VLOOKUP(C57,IMPORTRANGE(""https://docs.google.com/spreadsheets/d/1rG8iy-kKSFDxhVaU60GJ2bpXc8tZqI1bT8U0Ac0DWTU/edit?usp=sharing"",""REGISTRATION!C:V""),18,FALSE),"""")"),"")</f>
        <v/>
      </c>
      <c r="G57" s="69" t="str">
        <f>IFERROR(__xludf.DUMMYFUNCTION("IFNA(VLOOKUP(C57,IMPORTRANGE(""https://docs.google.com/spreadsheets/d/1rG8iy-kKSFDxhVaU60GJ2bpXc8tZqI1bT8U0Ac0DWTU/edit?usp=sharing"",""REGISTRATION!C:V""),20,FALSE),"""")"),"")</f>
        <v/>
      </c>
      <c r="H57" s="69" t="str">
        <f>IFERROR(__xludf.DUMMYFUNCTION("IFNA(VLOOKUP(C57,IMPORTRANGE(""https://docs.google.com/spreadsheets/d/1rG8iy-kKSFDxhVaU60GJ2bpXc8tZqI1bT8U0Ac0DWTU/edit?usp=sharing"",""REGISTRATION!C:V""),19,FALSE),"""")"),"")</f>
        <v/>
      </c>
    </row>
    <row r="58">
      <c r="C58" s="68"/>
      <c r="D58" s="21" t="str">
        <f>IFERROR(__xludf.DUMMYFUNCTION("IFNA(
IF(
VLOOKUP(C58,IMPORTRANGE(""https://docs.google.com/spreadsheets/d/1rG8iy-kKSFDxhVaU60GJ2bpXc8tZqI1bT8U0Ac0DWTU/edit?usp=sharing"",""REGISTRATION!C:X""),22,FALSE)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58" s="22" t="str">
        <f>IFERROR(__xludf.DUMMYFUNCTION("IFNA(
IF(
VLOOKUP(C58,IMPORTRANGE(""https://docs.google.com/spreadsheets/d/1rG8iy-kKSFDxhVaU60GJ2bpXc8tZqI1bT8U0Ac0DWTU/edit?usp=sharing"",""REGISTRATION!C:AB""),26,FALSE)
=""No"",
""No Candy"",
""""
),
""""
)"),"")</f>
        <v/>
      </c>
      <c r="F58" s="21" t="str">
        <f>IFERROR(__xludf.DUMMYFUNCTION("IFNA(VLOOKUP(C58,IMPORTRANGE(""https://docs.google.com/spreadsheets/d/1rG8iy-kKSFDxhVaU60GJ2bpXc8tZqI1bT8U0Ac0DWTU/edit?usp=sharing"",""REGISTRATION!C:V""),18,FALSE),"""")"),"")</f>
        <v/>
      </c>
      <c r="G58" s="69" t="str">
        <f>IFERROR(__xludf.DUMMYFUNCTION("IFNA(VLOOKUP(C58,IMPORTRANGE(""https://docs.google.com/spreadsheets/d/1rG8iy-kKSFDxhVaU60GJ2bpXc8tZqI1bT8U0Ac0DWTU/edit?usp=sharing"",""REGISTRATION!C:V""),20,FALSE),"""")"),"")</f>
        <v/>
      </c>
      <c r="H58" s="69" t="str">
        <f>IFERROR(__xludf.DUMMYFUNCTION("IFNA(VLOOKUP(C58,IMPORTRANGE(""https://docs.google.com/spreadsheets/d/1rG8iy-kKSFDxhVaU60GJ2bpXc8tZqI1bT8U0Ac0DWTU/edit?usp=sharing"",""REGISTRATION!C:V""),19,FALSE),"""")"),"")</f>
        <v/>
      </c>
    </row>
    <row r="59">
      <c r="C59" s="68"/>
      <c r="D59" s="21" t="str">
        <f>IFERROR(__xludf.DUMMYFUNCTION("IFNA(
IF(
VLOOKUP(C59,IMPORTRANGE(""https://docs.google.com/spreadsheets/d/1rG8iy-kKSFDxhVaU60GJ2bpXc8tZqI1bT8U0Ac0DWTU/edit?usp=sharing"",""REGISTRATION!C:X""),22,FALSE)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59" s="22" t="str">
        <f>IFERROR(__xludf.DUMMYFUNCTION("IFNA(
IF(
VLOOKUP(C59,IMPORTRANGE(""https://docs.google.com/spreadsheets/d/1rG8iy-kKSFDxhVaU60GJ2bpXc8tZqI1bT8U0Ac0DWTU/edit?usp=sharing"",""REGISTRATION!C:AB""),26,FALSE)
=""No"",
""No Candy"",
""""
),
""""
)"),"")</f>
        <v/>
      </c>
      <c r="F59" s="21" t="str">
        <f>IFERROR(__xludf.DUMMYFUNCTION("IFNA(VLOOKUP(C59,IMPORTRANGE(""https://docs.google.com/spreadsheets/d/1rG8iy-kKSFDxhVaU60GJ2bpXc8tZqI1bT8U0Ac0DWTU/edit?usp=sharing"",""REGISTRATION!C:V""),18,FALSE),"""")"),"")</f>
        <v/>
      </c>
      <c r="G59" s="69" t="str">
        <f>IFERROR(__xludf.DUMMYFUNCTION("IFNA(VLOOKUP(C59,IMPORTRANGE(""https://docs.google.com/spreadsheets/d/1rG8iy-kKSFDxhVaU60GJ2bpXc8tZqI1bT8U0Ac0DWTU/edit?usp=sharing"",""REGISTRATION!C:V""),20,FALSE),"""")"),"")</f>
        <v/>
      </c>
      <c r="H59" s="69" t="str">
        <f>IFERROR(__xludf.DUMMYFUNCTION("IFNA(VLOOKUP(C59,IMPORTRANGE(""https://docs.google.com/spreadsheets/d/1rG8iy-kKSFDxhVaU60GJ2bpXc8tZqI1bT8U0Ac0DWTU/edit?usp=sharing"",""REGISTRATION!C:V""),19,FALSE),"""")"),"")</f>
        <v/>
      </c>
    </row>
    <row r="60">
      <c r="C60" s="68"/>
      <c r="D60" s="21" t="str">
        <f>IFERROR(__xludf.DUMMYFUNCTION("IFNA(
IF(
VLOOKUP(C60,IMPORTRANGE(""https://docs.google.com/spreadsheets/d/1rG8iy-kKSFDxhVaU60GJ2bpXc8tZqI1bT8U0Ac0DWTU/edit?usp=sharing"",""REGISTRATION!C:X""),22,FALSE)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60" s="22" t="str">
        <f>IFERROR(__xludf.DUMMYFUNCTION("IFNA(
IF(
VLOOKUP(C60,IMPORTRANGE(""https://docs.google.com/spreadsheets/d/1rG8iy-kKSFDxhVaU60GJ2bpXc8tZqI1bT8U0Ac0DWTU/edit?usp=sharing"",""REGISTRATION!C:AB""),26,FALSE)
=""No"",
""No Candy"",
""""
),
""""
)"),"")</f>
        <v/>
      </c>
      <c r="F60" s="21" t="str">
        <f>IFERROR(__xludf.DUMMYFUNCTION("IFNA(VLOOKUP(C60,IMPORTRANGE(""https://docs.google.com/spreadsheets/d/1rG8iy-kKSFDxhVaU60GJ2bpXc8tZqI1bT8U0Ac0DWTU/edit?usp=sharing"",""REGISTRATION!C:V""),18,FALSE),"""")"),"")</f>
        <v/>
      </c>
      <c r="G60" s="69" t="str">
        <f>IFERROR(__xludf.DUMMYFUNCTION("IFNA(VLOOKUP(C60,IMPORTRANGE(""https://docs.google.com/spreadsheets/d/1rG8iy-kKSFDxhVaU60GJ2bpXc8tZqI1bT8U0Ac0DWTU/edit?usp=sharing"",""REGISTRATION!C:V""),20,FALSE),"""")"),"")</f>
        <v/>
      </c>
      <c r="H60" s="69" t="str">
        <f>IFERROR(__xludf.DUMMYFUNCTION("IFNA(VLOOKUP(C60,IMPORTRANGE(""https://docs.google.com/spreadsheets/d/1rG8iy-kKSFDxhVaU60GJ2bpXc8tZqI1bT8U0Ac0DWTU/edit?usp=sharing"",""REGISTRATION!C:V""),19,FALSE),"""")"),"")</f>
        <v/>
      </c>
    </row>
    <row r="61">
      <c r="C61" s="68"/>
      <c r="D61" s="21" t="str">
        <f>IFERROR(__xludf.DUMMYFUNCTION("IFNA(
IF(
VLOOKUP(C61,IMPORTRANGE(""https://docs.google.com/spreadsheets/d/1rG8iy-kKSFDxhVaU60GJ2bpXc8tZqI1bT8U0Ac0DWTU/edit?usp=sharing"",""REGISTRATION!C:X""),22,FALSE)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61" s="22" t="str">
        <f>IFERROR(__xludf.DUMMYFUNCTION("IFNA(
IF(
VLOOKUP(C61,IMPORTRANGE(""https://docs.google.com/spreadsheets/d/1rG8iy-kKSFDxhVaU60GJ2bpXc8tZqI1bT8U0Ac0DWTU/edit?usp=sharing"",""REGISTRATION!C:AB""),26,FALSE)
=""No"",
""No Candy"",
""""
),
""""
)"),"")</f>
        <v/>
      </c>
      <c r="F61" s="21" t="str">
        <f>IFERROR(__xludf.DUMMYFUNCTION("IFNA(VLOOKUP(C61,IMPORTRANGE(""https://docs.google.com/spreadsheets/d/1rG8iy-kKSFDxhVaU60GJ2bpXc8tZqI1bT8U0Ac0DWTU/edit?usp=sharing"",""REGISTRATION!C:V""),18,FALSE),"""")"),"")</f>
        <v/>
      </c>
      <c r="G61" s="69" t="str">
        <f>IFERROR(__xludf.DUMMYFUNCTION("IFNA(VLOOKUP(C61,IMPORTRANGE(""https://docs.google.com/spreadsheets/d/1rG8iy-kKSFDxhVaU60GJ2bpXc8tZqI1bT8U0Ac0DWTU/edit?usp=sharing"",""REGISTRATION!C:V""),20,FALSE),"""")"),"")</f>
        <v/>
      </c>
      <c r="H61" s="69" t="str">
        <f>IFERROR(__xludf.DUMMYFUNCTION("IFNA(VLOOKUP(C61,IMPORTRANGE(""https://docs.google.com/spreadsheets/d/1rG8iy-kKSFDxhVaU60GJ2bpXc8tZqI1bT8U0Ac0DWTU/edit?usp=sharing"",""REGISTRATION!C:V""),19,FALSE),"""")"),"")</f>
        <v/>
      </c>
    </row>
    <row r="62">
      <c r="C62" s="68"/>
      <c r="D62" s="21" t="str">
        <f>IFERROR(__xludf.DUMMYFUNCTION("IFNA(
IF(
VLOOKUP(C62,IMPORTRANGE(""https://docs.google.com/spreadsheets/d/1rG8iy-kKSFDxhVaU60GJ2bpXc8tZqI1bT8U0Ac0DWTU/edit?usp=sharing"",""REGISTRATION!C:X""),22,FALSE)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62" s="22" t="str">
        <f>IFERROR(__xludf.DUMMYFUNCTION("IFNA(
IF(
VLOOKUP(C62,IMPORTRANGE(""https://docs.google.com/spreadsheets/d/1rG8iy-kKSFDxhVaU60GJ2bpXc8tZqI1bT8U0Ac0DWTU/edit?usp=sharing"",""REGISTRATION!C:AB""),26,FALSE)
=""No"",
""No Candy"",
""""
),
""""
)"),"")</f>
        <v/>
      </c>
      <c r="F62" s="21" t="str">
        <f>IFERROR(__xludf.DUMMYFUNCTION("IFNA(VLOOKUP(C62,IMPORTRANGE(""https://docs.google.com/spreadsheets/d/1rG8iy-kKSFDxhVaU60GJ2bpXc8tZqI1bT8U0Ac0DWTU/edit?usp=sharing"",""REGISTRATION!C:V""),18,FALSE),"""")"),"")</f>
        <v/>
      </c>
      <c r="G62" s="69" t="str">
        <f>IFERROR(__xludf.DUMMYFUNCTION("IFNA(VLOOKUP(C62,IMPORTRANGE(""https://docs.google.com/spreadsheets/d/1rG8iy-kKSFDxhVaU60GJ2bpXc8tZqI1bT8U0Ac0DWTU/edit?usp=sharing"",""REGISTRATION!C:V""),20,FALSE),"""")"),"")</f>
        <v/>
      </c>
      <c r="H62" s="69" t="str">
        <f>IFERROR(__xludf.DUMMYFUNCTION("IFNA(VLOOKUP(C62,IMPORTRANGE(""https://docs.google.com/spreadsheets/d/1rG8iy-kKSFDxhVaU60GJ2bpXc8tZqI1bT8U0Ac0DWTU/edit?usp=sharing"",""REGISTRATION!C:V""),19,FALSE),"""")"),"")</f>
        <v/>
      </c>
    </row>
    <row r="63">
      <c r="C63" s="68"/>
      <c r="D63" s="21" t="str">
        <f>IFERROR(__xludf.DUMMYFUNCTION("IFNA(
IF(
VLOOKUP(C63,IMPORTRANGE(""https://docs.google.com/spreadsheets/d/1rG8iy-kKSFDxhVaU60GJ2bpXc8tZqI1bT8U0Ac0DWTU/edit?usp=sharing"",""REGISTRATION!C:X""),22,FALSE)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63" s="22" t="str">
        <f>IFERROR(__xludf.DUMMYFUNCTION("IFNA(
IF(
VLOOKUP(C63,IMPORTRANGE(""https://docs.google.com/spreadsheets/d/1rG8iy-kKSFDxhVaU60GJ2bpXc8tZqI1bT8U0Ac0DWTU/edit?usp=sharing"",""REGISTRATION!C:AB""),26,FALSE)
=""No"",
""No Candy"",
""""
),
""""
)"),"")</f>
        <v/>
      </c>
      <c r="F63" s="21" t="str">
        <f>IFERROR(__xludf.DUMMYFUNCTION("IFNA(VLOOKUP(C63,IMPORTRANGE(""https://docs.google.com/spreadsheets/d/1rG8iy-kKSFDxhVaU60GJ2bpXc8tZqI1bT8U0Ac0DWTU/edit?usp=sharing"",""REGISTRATION!C:V""),18,FALSE),"""")"),"")</f>
        <v/>
      </c>
      <c r="G63" s="69" t="str">
        <f>IFERROR(__xludf.DUMMYFUNCTION("IFNA(VLOOKUP(C63,IMPORTRANGE(""https://docs.google.com/spreadsheets/d/1rG8iy-kKSFDxhVaU60GJ2bpXc8tZqI1bT8U0Ac0DWTU/edit?usp=sharing"",""REGISTRATION!C:V""),20,FALSE),"""")"),"")</f>
        <v/>
      </c>
      <c r="H63" s="69" t="str">
        <f>IFERROR(__xludf.DUMMYFUNCTION("IFNA(VLOOKUP(C63,IMPORTRANGE(""https://docs.google.com/spreadsheets/d/1rG8iy-kKSFDxhVaU60GJ2bpXc8tZqI1bT8U0Ac0DWTU/edit?usp=sharing"",""REGISTRATION!C:V""),19,FALSE),"""")"),"")</f>
        <v/>
      </c>
    </row>
    <row r="64">
      <c r="A64" s="30" t="s">
        <v>239</v>
      </c>
      <c r="B64" s="30" t="s">
        <v>240</v>
      </c>
      <c r="C64" s="70"/>
      <c r="D64" s="32" t="str">
        <f>IFERROR(__xludf.DUMMYFUNCTION("IFNA(
IF(
VLOOKUP(C64,IMPORTRANGE(""https://docs.google.com/spreadsheets/d/1rG8iy-kKSFDxhVaU60GJ2bpXc8tZqI1bT8U0Ac0DWTU/edit?usp=sharing"",""REGISTRATION!C:X""),22,FALSE)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64" s="33" t="str">
        <f>IFERROR(__xludf.DUMMYFUNCTION("IFNA(
IF(
VLOOKUP(C64,IMPORTRANGE(""https://docs.google.com/spreadsheets/d/1rG8iy-kKSFDxhVaU60GJ2bpXc8tZqI1bT8U0Ac0DWTU/edit?usp=sharing"",""REGISTRATION!C:AB""),26,FALSE)
=""No"",
""No Candy"",
""""
),
""""
)"),"")</f>
        <v/>
      </c>
      <c r="F64" s="32" t="str">
        <f>IFERROR(__xludf.DUMMYFUNCTION("IFNA(VLOOKUP(C64,IMPORTRANGE(""https://docs.google.com/spreadsheets/d/1rG8iy-kKSFDxhVaU60GJ2bpXc8tZqI1bT8U0Ac0DWTU/edit?usp=sharing"",""REGISTRATION!C:V""),18,FALSE),"""")"),"")</f>
        <v/>
      </c>
      <c r="G64" s="32" t="str">
        <f>IFERROR(__xludf.DUMMYFUNCTION("IFNA(VLOOKUP(C64,IMPORTRANGE(""https://docs.google.com/spreadsheets/d/1rG8iy-kKSFDxhVaU60GJ2bpXc8tZqI1bT8U0Ac0DWTU/edit?usp=sharing"",""REGISTRATION!C:V""),20,FALSE),"""")"),"")</f>
        <v/>
      </c>
      <c r="H64" s="32" t="str">
        <f>IFERROR(__xludf.DUMMYFUNCTION("IFNA(VLOOKUP(C64,IMPORTRANGE(""https://docs.google.com/spreadsheets/d/1rG8iy-kKSFDxhVaU60GJ2bpXc8tZqI1bT8U0Ac0DWTU/edit?usp=sharing"",""REGISTRATION!C:V""),19,FALSE),"""")"),"")</f>
        <v/>
      </c>
    </row>
    <row r="65">
      <c r="C65" s="70" t="s">
        <v>36</v>
      </c>
      <c r="D65" s="32" t="str">
        <f>IFERROR(__xludf.DUMMYFUNCTION("IFNA(
IF(
VLOOKUP(C65,IMPORTRANGE(""https://docs.google.com/spreadsheets/d/1rG8iy-kKSFDxhVaU60GJ2bpXc8tZqI1bT8U0Ac0DWTU/edit?usp=sharing"",""REGISTRATION!C:X""),22,FALSE)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65" s="33" t="str">
        <f>IFERROR(__xludf.DUMMYFUNCTION("IFNA(
IF(
VLOOKUP(C65,IMPORTRANGE(""https://docs.google.com/spreadsheets/d/1rG8iy-kKSFDxhVaU60GJ2bpXc8tZqI1bT8U0Ac0DWTU/edit?usp=sharing"",""REGISTRATION!C:AB""),26,FALSE)
=""No"",
""No Candy"",
""""
),
""""
)"),"")</f>
        <v/>
      </c>
      <c r="F65" s="32" t="str">
        <f>IFERROR(__xludf.DUMMYFUNCTION("IFNA(VLOOKUP(C65,IMPORTRANGE(""https://docs.google.com/spreadsheets/d/1rG8iy-kKSFDxhVaU60GJ2bpXc8tZqI1bT8U0Ac0DWTU/edit?usp=sharing"",""REGISTRATION!C:V""),18,FALSE),"""")"),"None")</f>
        <v>None</v>
      </c>
      <c r="G65" s="32" t="str">
        <f>IFERROR(__xludf.DUMMYFUNCTION("IFNA(VLOOKUP(C65,IMPORTRANGE(""https://docs.google.com/spreadsheets/d/1rG8iy-kKSFDxhVaU60GJ2bpXc8tZqI1bT8U0Ac0DWTU/edit?usp=sharing"",""REGISTRATION!C:V""),20,FALSE),"""")"),"")</f>
        <v/>
      </c>
      <c r="H65" s="32" t="str">
        <f>IFERROR(__xludf.DUMMYFUNCTION("IFNA(VLOOKUP(C65,IMPORTRANGE(""https://docs.google.com/spreadsheets/d/1rG8iy-kKSFDxhVaU60GJ2bpXc8tZqI1bT8U0Ac0DWTU/edit?usp=sharing"",""REGISTRATION!C:V""),19,FALSE),"""")"),"None")</f>
        <v>None</v>
      </c>
    </row>
    <row r="66">
      <c r="C66" s="70" t="s">
        <v>39</v>
      </c>
      <c r="D66" s="32" t="str">
        <f>IFERROR(__xludf.DUMMYFUNCTION("IFNA(
IF(
VLOOKUP(C66,IMPORTRANGE(""https://docs.google.com/spreadsheets/d/1rG8iy-kKSFDxhVaU60GJ2bpXc8tZqI1bT8U0Ac0DWTU/edit?usp=sharing"",""REGISTRATION!C:X""),22,FALSE)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66" s="33" t="str">
        <f>IFERROR(__xludf.DUMMYFUNCTION("IFNA(
IF(
VLOOKUP(C66,IMPORTRANGE(""https://docs.google.com/spreadsheets/d/1rG8iy-kKSFDxhVaU60GJ2bpXc8tZqI1bT8U0Ac0DWTU/edit?usp=sharing"",""REGISTRATION!C:AB""),26,FALSE)
=""No"",
""No Candy"",
""""
),
""""
)"),"")</f>
        <v/>
      </c>
      <c r="F66" s="32" t="str">
        <f>IFERROR(__xludf.DUMMYFUNCTION("IFNA(VLOOKUP(C66,IMPORTRANGE(""https://docs.google.com/spreadsheets/d/1rG8iy-kKSFDxhVaU60GJ2bpXc8tZqI1bT8U0Ac0DWTU/edit?usp=sharing"",""REGISTRATION!C:V""),18,FALSE),"""")"),"Vegetarian Diet (No egg and no fish)")</f>
        <v>Vegetarian Diet (No egg and no fish)</v>
      </c>
      <c r="G66" s="32" t="str">
        <f>IFERROR(__xludf.DUMMYFUNCTION("IFNA(VLOOKUP(C66,IMPORTRANGE(""https://docs.google.com/spreadsheets/d/1rG8iy-kKSFDxhVaU60GJ2bpXc8tZqI1bT8U0Ac0DWTU/edit?usp=sharing"",""REGISTRATION!C:V""),20,FALSE),"""")"),"")</f>
        <v/>
      </c>
      <c r="H66" s="32" t="str">
        <f>IFERROR(__xludf.DUMMYFUNCTION("IFNA(VLOOKUP(C66,IMPORTRANGE(""https://docs.google.com/spreadsheets/d/1rG8iy-kKSFDxhVaU60GJ2bpXc8tZqI1bT8U0Ac0DWTU/edit?usp=sharing"",""REGISTRATION!C:V""),19,FALSE),"""")"),"None")</f>
        <v>None</v>
      </c>
    </row>
    <row r="67">
      <c r="C67" s="70" t="s">
        <v>55</v>
      </c>
      <c r="D67" s="32" t="str">
        <f>IFERROR(__xludf.DUMMYFUNCTION("IFNA(
IF(
VLOOKUP(C67,IMPORTRANGE(""https://docs.google.com/spreadsheets/d/1rG8iy-kKSFDxhVaU60GJ2bpXc8tZqI1bT8U0Ac0DWTU/edit?usp=sharing"",""REGISTRATION!C:X""),22,FALSE)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67" s="33" t="str">
        <f>IFERROR(__xludf.DUMMYFUNCTION("IFNA(
IF(
VLOOKUP(C67,IMPORTRANGE(""https://docs.google.com/spreadsheets/d/1rG8iy-kKSFDxhVaU60GJ2bpXc8tZqI1bT8U0Ac0DWTU/edit?usp=sharing"",""REGISTRATION!C:AB""),26,FALSE)
=""No"",
""No Candy"",
""""
),
""""
)"),"")</f>
        <v/>
      </c>
      <c r="F67" s="32" t="str">
        <f>IFERROR(__xludf.DUMMYFUNCTION("IFNA(VLOOKUP(C67,IMPORTRANGE(""https://docs.google.com/spreadsheets/d/1rG8iy-kKSFDxhVaU60GJ2bpXc8tZqI1bT8U0Ac0DWTU/edit?usp=sharing"",""REGISTRATION!C:V""),18,FALSE),"""")"),"None")</f>
        <v>None</v>
      </c>
      <c r="G67" s="32" t="str">
        <f>IFERROR(__xludf.DUMMYFUNCTION("IFNA(VLOOKUP(C67,IMPORTRANGE(""https://docs.google.com/spreadsheets/d/1rG8iy-kKSFDxhVaU60GJ2bpXc8tZqI1bT8U0Ac0DWTU/edit?usp=sharing"",""REGISTRATION!C:V""),20,FALSE),"""")"),"")</f>
        <v/>
      </c>
      <c r="H67" s="32" t="str">
        <f>IFERROR(__xludf.DUMMYFUNCTION("IFNA(VLOOKUP(C67,IMPORTRANGE(""https://docs.google.com/spreadsheets/d/1rG8iy-kKSFDxhVaU60GJ2bpXc8tZqI1bT8U0Ac0DWTU/edit?usp=sharing"",""REGISTRATION!C:V""),19,FALSE),"""")"),"None")</f>
        <v>None</v>
      </c>
    </row>
    <row r="68">
      <c r="C68" s="70" t="s">
        <v>42</v>
      </c>
      <c r="D68" s="32" t="str">
        <f>IFERROR(__xludf.DUMMYFUNCTION("IFNA(
IF(
VLOOKUP(C68,IMPORTRANGE(""https://docs.google.com/spreadsheets/d/1rG8iy-kKSFDxhVaU60GJ2bpXc8tZqI1bT8U0Ac0DWTU/edit?usp=sharing"",""REGISTRATION!C:X""),22,FALSE)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68" s="33" t="str">
        <f>IFERROR(__xludf.DUMMYFUNCTION("IFNA(
IF(
VLOOKUP(C68,IMPORTRANGE(""https://docs.google.com/spreadsheets/d/1rG8iy-kKSFDxhVaU60GJ2bpXc8tZqI1bT8U0Ac0DWTU/edit?usp=sharing"",""REGISTRATION!C:AB""),26,FALSE)
=""No"",
""No Candy"",
""""
),
""""
)"),"")</f>
        <v/>
      </c>
      <c r="F68" s="32" t="str">
        <f>IFERROR(__xludf.DUMMYFUNCTION("IFNA(VLOOKUP(C68,IMPORTRANGE(""https://docs.google.com/spreadsheets/d/1rG8iy-kKSFDxhVaU60GJ2bpXc8tZqI1bT8U0Ac0DWTU/edit?usp=sharing"",""REGISTRATION!C:V""),18,FALSE),"""")"),"None")</f>
        <v>None</v>
      </c>
      <c r="G68" s="32" t="str">
        <f>IFERROR(__xludf.DUMMYFUNCTION("IFNA(VLOOKUP(C68,IMPORTRANGE(""https://docs.google.com/spreadsheets/d/1rG8iy-kKSFDxhVaU60GJ2bpXc8tZqI1bT8U0Ac0DWTU/edit?usp=sharing"",""REGISTRATION!C:V""),20,FALSE),"""")"),"")</f>
        <v/>
      </c>
      <c r="H68" s="32" t="str">
        <f>IFERROR(__xludf.DUMMYFUNCTION("IFNA(VLOOKUP(C68,IMPORTRANGE(""https://docs.google.com/spreadsheets/d/1rG8iy-kKSFDxhVaU60GJ2bpXc8tZqI1bT8U0Ac0DWTU/edit?usp=sharing"",""REGISTRATION!C:V""),19,FALSE),"""")"),"None")</f>
        <v>None</v>
      </c>
    </row>
    <row r="69">
      <c r="C69" s="70" t="s">
        <v>67</v>
      </c>
      <c r="D69" s="32" t="str">
        <f>IFERROR(__xludf.DUMMYFUNCTION("IFNA(
IF(
VLOOKUP(C69,IMPORTRANGE(""https://docs.google.com/spreadsheets/d/1rG8iy-kKSFDxhVaU60GJ2bpXc8tZqI1bT8U0Ac0DWTU/edit?usp=sharing"",""REGISTRATION!C:X""),22,FALSE)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69" s="33" t="str">
        <f>IFERROR(__xludf.DUMMYFUNCTION("IFNA(
IF(
VLOOKUP(C69,IMPORTRANGE(""https://docs.google.com/spreadsheets/d/1rG8iy-kKSFDxhVaU60GJ2bpXc8tZqI1bT8U0Ac0DWTU/edit?usp=sharing"",""REGISTRATION!C:AB""),26,FALSE)
=""No"",
""No Candy"",
""""
),
""""
)"),"No Candy")</f>
        <v>No Candy</v>
      </c>
      <c r="F69" s="32" t="str">
        <f>IFERROR(__xludf.DUMMYFUNCTION("IFNA(VLOOKUP(C69,IMPORTRANGE(""https://docs.google.com/spreadsheets/d/1rG8iy-kKSFDxhVaU60GJ2bpXc8tZqI1bT8U0Ac0DWTU/edit?usp=sharing"",""REGISTRATION!C:V""),18,FALSE),"""")"),"Bee allergy EpiPen ")</f>
        <v>Bee allergy EpiPen </v>
      </c>
      <c r="G69" s="32" t="str">
        <f>IFERROR(__xludf.DUMMYFUNCTION("IFNA(VLOOKUP(C69,IMPORTRANGE(""https://docs.google.com/spreadsheets/d/1rG8iy-kKSFDxhVaU60GJ2bpXc8tZqI1bT8U0Ac0DWTU/edit?usp=sharing"",""REGISTRATION!C:V""),20,FALSE),"""")"),"")</f>
        <v/>
      </c>
      <c r="H69" s="32" t="str">
        <f>IFERROR(__xludf.DUMMYFUNCTION("IFNA(VLOOKUP(C69,IMPORTRANGE(""https://docs.google.com/spreadsheets/d/1rG8iy-kKSFDxhVaU60GJ2bpXc8tZqI1bT8U0Ac0DWTU/edit?usp=sharing"",""REGISTRATION!C:V""),19,FALSE),"""")"),"None")</f>
        <v>None</v>
      </c>
    </row>
    <row r="70">
      <c r="C70" s="71" t="s">
        <v>43</v>
      </c>
      <c r="D70" s="32" t="str">
        <f>IFERROR(__xludf.DUMMYFUNCTION("IFNA(
IF(
VLOOKUP(C70,IMPORTRANGE(""https://docs.google.com/spreadsheets/d/1rG8iy-kKSFDxhVaU60GJ2bpXc8tZqI1bT8U0Ac0DWTU/edit?usp=sharing"",""REGISTRATION!C:X""),22,FALSE)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70" s="33" t="str">
        <f>IFERROR(__xludf.DUMMYFUNCTION("IFNA(
IF(
VLOOKUP(C70,IMPORTRANGE(""https://docs.google.com/spreadsheets/d/1rG8iy-kKSFDxhVaU60GJ2bpXc8tZqI1bT8U0Ac0DWTU/edit?usp=sharing"",""REGISTRATION!C:AB""),26,FALSE)
=""No"",
""No Candy"",
""""
),
""""
)"),"")</f>
        <v/>
      </c>
      <c r="F70" s="32" t="str">
        <f>IFERROR(__xludf.DUMMYFUNCTION("IFNA(VLOOKUP(C70,IMPORTRANGE(""https://docs.google.com/spreadsheets/d/1rG8iy-kKSFDxhVaU60GJ2bpXc8tZqI1bT8U0Ac0DWTU/edit?usp=sharing"",""REGISTRATION!C:V""),18,FALSE),"""")"),"None")</f>
        <v>None</v>
      </c>
      <c r="G70" s="32" t="str">
        <f>IFERROR(__xludf.DUMMYFUNCTION("IFNA(VLOOKUP(C70,IMPORTRANGE(""https://docs.google.com/spreadsheets/d/1rG8iy-kKSFDxhVaU60GJ2bpXc8tZqI1bT8U0Ac0DWTU/edit?usp=sharing"",""REGISTRATION!C:V""),20,FALSE),"""")"),"")</f>
        <v/>
      </c>
      <c r="H70" s="32" t="str">
        <f>IFERROR(__xludf.DUMMYFUNCTION("IFNA(VLOOKUP(C70,IMPORTRANGE(""https://docs.google.com/spreadsheets/d/1rG8iy-kKSFDxhVaU60GJ2bpXc8tZqI1bT8U0Ac0DWTU/edit?usp=sharing"",""REGISTRATION!C:V""),19,FALSE),"""")"),"None")</f>
        <v>None</v>
      </c>
    </row>
    <row r="71">
      <c r="C71" s="70" t="s">
        <v>54</v>
      </c>
      <c r="D71" s="32" t="str">
        <f>IFERROR(__xludf.DUMMYFUNCTION("IFNA(
IF(
VLOOKUP(C71,IMPORTRANGE(""https://docs.google.com/spreadsheets/d/1rG8iy-kKSFDxhVaU60GJ2bpXc8tZqI1bT8U0Ac0DWTU/edit?usp=sharing"",""REGISTRATION!C:X""),22,FALSE)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71" s="33" t="str">
        <f>IFERROR(__xludf.DUMMYFUNCTION("IFNA(
IF(
VLOOKUP(C71,IMPORTRANGE(""https://docs.google.com/spreadsheets/d/1rG8iy-kKSFDxhVaU60GJ2bpXc8tZqI1bT8U0Ac0DWTU/edit?usp=sharing"",""REGISTRATION!C:AB""),26,FALSE)
=""No"",
""No Candy"",
""""
),
""""
)"),"")</f>
        <v/>
      </c>
      <c r="F71" s="32" t="str">
        <f>IFERROR(__xludf.DUMMYFUNCTION("IFNA(VLOOKUP(C71,IMPORTRANGE(""https://docs.google.com/spreadsheets/d/1rG8iy-kKSFDxhVaU60GJ2bpXc8tZqI1bT8U0Ac0DWTU/edit?usp=sharing"",""REGISTRATION!C:V""),18,FALSE),"""")"),"None")</f>
        <v>None</v>
      </c>
      <c r="G71" s="32" t="str">
        <f>IFERROR(__xludf.DUMMYFUNCTION("IFNA(VLOOKUP(C71,IMPORTRANGE(""https://docs.google.com/spreadsheets/d/1rG8iy-kKSFDxhVaU60GJ2bpXc8tZqI1bT8U0Ac0DWTU/edit?usp=sharing"",""REGISTRATION!C:V""),20,FALSE),"""")"),"")</f>
        <v/>
      </c>
      <c r="H71" s="32" t="str">
        <f>IFERROR(__xludf.DUMMYFUNCTION("IFNA(VLOOKUP(C71,IMPORTRANGE(""https://docs.google.com/spreadsheets/d/1rG8iy-kKSFDxhVaU60GJ2bpXc8tZqI1bT8U0Ac0DWTU/edit?usp=sharing"",""REGISTRATION!C:V""),19,FALSE),"""")"),"None")</f>
        <v>None</v>
      </c>
    </row>
    <row r="72">
      <c r="C72" s="70" t="s">
        <v>58</v>
      </c>
      <c r="D72" s="32" t="str">
        <f>IFERROR(__xludf.DUMMYFUNCTION("IFNA(
IF(
VLOOKUP(C72,IMPORTRANGE(""https://docs.google.com/spreadsheets/d/1rG8iy-kKSFDxhVaU60GJ2bpXc8tZqI1bT8U0Ac0DWTU/edit?usp=sharing"",""REGISTRATION!C:X""),22,FALSE)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72" s="33" t="str">
        <f>IFERROR(__xludf.DUMMYFUNCTION("IFNA(
IF(
VLOOKUP(C72,IMPORTRANGE(""https://docs.google.com/spreadsheets/d/1rG8iy-kKSFDxhVaU60GJ2bpXc8tZqI1bT8U0Ac0DWTU/edit?usp=sharing"",""REGISTRATION!C:AB""),26,FALSE)
=""No"",
""No Candy"",
""""
),
""""
)"),"")</f>
        <v/>
      </c>
      <c r="F72" s="32" t="str">
        <f>IFERROR(__xludf.DUMMYFUNCTION("IFNA(VLOOKUP(C72,IMPORTRANGE(""https://docs.google.com/spreadsheets/d/1rG8iy-kKSFDxhVaU60GJ2bpXc8tZqI1bT8U0Ac0DWTU/edit?usp=sharing"",""REGISTRATION!C:V""),18,FALSE),"""")"),"None")</f>
        <v>None</v>
      </c>
      <c r="G72" s="32" t="str">
        <f>IFERROR(__xludf.DUMMYFUNCTION("IFNA(VLOOKUP(C72,IMPORTRANGE(""https://docs.google.com/spreadsheets/d/1rG8iy-kKSFDxhVaU60GJ2bpXc8tZqI1bT8U0Ac0DWTU/edit?usp=sharing"",""REGISTRATION!C:V""),20,FALSE),"""")"),"Boy
")</f>
        <v>Boy
</v>
      </c>
      <c r="H72" s="32" t="str">
        <f>IFERROR(__xludf.DUMMYFUNCTION("IFNA(VLOOKUP(C72,IMPORTRANGE(""https://docs.google.com/spreadsheets/d/1rG8iy-kKSFDxhVaU60GJ2bpXc8tZqI1bT8U0Ac0DWTU/edit?usp=sharing"",""REGISTRATION!C:V""),19,FALSE),"""")"),"None")</f>
        <v>None</v>
      </c>
    </row>
    <row r="73">
      <c r="C73" s="70" t="s">
        <v>61</v>
      </c>
      <c r="D73" s="32" t="str">
        <f>IFERROR(__xludf.DUMMYFUNCTION("IFNA(
IF(
VLOOKUP(C73,IMPORTRANGE(""https://docs.google.com/spreadsheets/d/1rG8iy-kKSFDxhVaU60GJ2bpXc8tZqI1bT8U0Ac0DWTU/edit?usp=sharing"",""REGISTRATION!C:X""),22,FALSE)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73" s="33" t="str">
        <f>IFERROR(__xludf.DUMMYFUNCTION("IFNA(
IF(
VLOOKUP(C73,IMPORTRANGE(""https://docs.google.com/spreadsheets/d/1rG8iy-kKSFDxhVaU60GJ2bpXc8tZqI1bT8U0Ac0DWTU/edit?usp=sharing"",""REGISTRATION!C:AB""),26,FALSE)
=""No"",
""No Candy"",
""""
),
""""
)"),"")</f>
        <v/>
      </c>
      <c r="F73" s="32" t="str">
        <f>IFERROR(__xludf.DUMMYFUNCTION("IFNA(VLOOKUP(C73,IMPORTRANGE(""https://docs.google.com/spreadsheets/d/1rG8iy-kKSFDxhVaU60GJ2bpXc8tZqI1bT8U0Ac0DWTU/edit?usp=sharing"",""REGISTRATION!C:V""),18,FALSE),"""")"),"None")</f>
        <v>None</v>
      </c>
      <c r="G73" s="32" t="str">
        <f>IFERROR(__xludf.DUMMYFUNCTION("IFNA(VLOOKUP(C73,IMPORTRANGE(""https://docs.google.com/spreadsheets/d/1rG8iy-kKSFDxhVaU60GJ2bpXc8tZqI1bT8U0Ac0DWTU/edit?usp=sharing"",""REGISTRATION!C:V""),20,FALSE),"""")"),"")</f>
        <v/>
      </c>
      <c r="H73" s="32" t="str">
        <f>IFERROR(__xludf.DUMMYFUNCTION("IFNA(VLOOKUP(C73,IMPORTRANGE(""https://docs.google.com/spreadsheets/d/1rG8iy-kKSFDxhVaU60GJ2bpXc8tZqI1bT8U0Ac0DWTU/edit?usp=sharing"",""REGISTRATION!C:V""),19,FALSE),"""")"),"None")</f>
        <v>None</v>
      </c>
    </row>
    <row r="74">
      <c r="C74" s="70" t="s">
        <v>62</v>
      </c>
      <c r="D74" s="32" t="str">
        <f>IFERROR(__xludf.DUMMYFUNCTION("IFNA(
IF(
VLOOKUP(C74,IMPORTRANGE(""https://docs.google.com/spreadsheets/d/1rG8iy-kKSFDxhVaU60GJ2bpXc8tZqI1bT8U0Ac0DWTU/edit?usp=sharing"",""REGISTRATION!C:X""),22,FALSE)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74" s="33" t="str">
        <f>IFERROR(__xludf.DUMMYFUNCTION("IFNA(
IF(
VLOOKUP(C74,IMPORTRANGE(""https://docs.google.com/spreadsheets/d/1rG8iy-kKSFDxhVaU60GJ2bpXc8tZqI1bT8U0Ac0DWTU/edit?usp=sharing"",""REGISTRATION!C:AB""),26,FALSE)
=""No"",
""No Candy"",
""""
),
""""
)"),"")</f>
        <v/>
      </c>
      <c r="F74" s="32" t="str">
        <f>IFERROR(__xludf.DUMMYFUNCTION("IFNA(VLOOKUP(C74,IMPORTRANGE(""https://docs.google.com/spreadsheets/d/1rG8iy-kKSFDxhVaU60GJ2bpXc8tZqI1bT8U0Ac0DWTU/edit?usp=sharing"",""REGISTRATION!C:V""),18,FALSE),"""")"),"Tree nuts, chickpeas, peas")</f>
        <v>Tree nuts, chickpeas, peas</v>
      </c>
      <c r="G74" s="32" t="str">
        <f>IFERROR(__xludf.DUMMYFUNCTION("IFNA(VLOOKUP(C74,IMPORTRANGE(""https://docs.google.com/spreadsheets/d/1rG8iy-kKSFDxhVaU60GJ2bpXc8tZqI1bT8U0Ac0DWTU/edit?usp=sharing"",""REGISTRATION!C:V""),20,FALSE),"""")"),"")</f>
        <v/>
      </c>
      <c r="H74" s="32" t="str">
        <f>IFERROR(__xludf.DUMMYFUNCTION("IFNA(VLOOKUP(C74,IMPORTRANGE(""https://docs.google.com/spreadsheets/d/1rG8iy-kKSFDxhVaU60GJ2bpXc8tZqI1bT8U0Ac0DWTU/edit?usp=sharing"",""REGISTRATION!C:V""),19,FALSE),"""")"),"Asthma")</f>
        <v>Asthma</v>
      </c>
    </row>
    <row r="75">
      <c r="C75" s="71" t="s">
        <v>70</v>
      </c>
      <c r="D75" s="32" t="str">
        <f>IFERROR(__xludf.DUMMYFUNCTION("IFNA(
IF(
VLOOKUP(C75,IMPORTRANGE(""https://docs.google.com/spreadsheets/d/1rG8iy-kKSFDxhVaU60GJ2bpXc8tZqI1bT8U0Ac0DWTU/edit?usp=sharing"",""REGISTRATION!C:X""),22,FALSE)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75" s="33" t="str">
        <f>IFERROR(__xludf.DUMMYFUNCTION("IFNA(
IF(
VLOOKUP(C75,IMPORTRANGE(""https://docs.google.com/spreadsheets/d/1rG8iy-kKSFDxhVaU60GJ2bpXc8tZqI1bT8U0Ac0DWTU/edit?usp=sharing"",""REGISTRATION!C:AB""),26,FALSE)
=""No"",
""No Candy"",
""""
),
""""
)"),"")</f>
        <v/>
      </c>
      <c r="F75" s="32" t="str">
        <f>IFERROR(__xludf.DUMMYFUNCTION("IFNA(VLOOKUP(C75,IMPORTRANGE(""https://docs.google.com/spreadsheets/d/1rG8iy-kKSFDxhVaU60GJ2bpXc8tZqI1bT8U0Ac0DWTU/edit?usp=sharing"",""REGISTRATION!C:V""),18,FALSE),"""")"),"None")</f>
        <v>None</v>
      </c>
      <c r="G75" s="32" t="str">
        <f>IFERROR(__xludf.DUMMYFUNCTION("IFNA(VLOOKUP(C75,IMPORTRANGE(""https://docs.google.com/spreadsheets/d/1rG8iy-kKSFDxhVaU60GJ2bpXc8tZqI1bT8U0Ac0DWTU/edit?usp=sharing"",""REGISTRATION!C:V""),20,FALSE),"""")"),"")</f>
        <v/>
      </c>
      <c r="H75" s="32" t="str">
        <f>IFERROR(__xludf.DUMMYFUNCTION("IFNA(VLOOKUP(C75,IMPORTRANGE(""https://docs.google.com/spreadsheets/d/1rG8iy-kKSFDxhVaU60GJ2bpXc8tZqI1bT8U0Ac0DWTU/edit?usp=sharing"",""REGISTRATION!C:V""),19,FALSE),"""")"),"None")</f>
        <v>None</v>
      </c>
    </row>
    <row r="76">
      <c r="C76" s="70" t="s">
        <v>71</v>
      </c>
      <c r="D76" s="32" t="str">
        <f>IFERROR(__xludf.DUMMYFUNCTION("IFNA(
IF(
VLOOKUP(C76,IMPORTRANGE(""https://docs.google.com/spreadsheets/d/1rG8iy-kKSFDxhVaU60GJ2bpXc8tZqI1bT8U0Ac0DWTU/edit?usp=sharing"",""REGISTRATION!C:X""),22,FALSE)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76" s="33" t="str">
        <f>IFERROR(__xludf.DUMMYFUNCTION("IFNA(
IF(
VLOOKUP(C76,IMPORTRANGE(""https://docs.google.com/spreadsheets/d/1rG8iy-kKSFDxhVaU60GJ2bpXc8tZqI1bT8U0Ac0DWTU/edit?usp=sharing"",""REGISTRATION!C:AB""),26,FALSE)
=""No"",
""No Candy"",
""""
),
""""
)"),"No Candy")</f>
        <v>No Candy</v>
      </c>
      <c r="F76" s="32" t="str">
        <f>IFERROR(__xludf.DUMMYFUNCTION("IFNA(VLOOKUP(C76,IMPORTRANGE(""https://docs.google.com/spreadsheets/d/1rG8iy-kKSFDxhVaU60GJ2bpXc8tZqI1bT8U0Ac0DWTU/edit?usp=sharing"",""REGISTRATION!C:V""),18,FALSE),"""")"),"None")</f>
        <v>None</v>
      </c>
      <c r="G76" s="32" t="str">
        <f>IFERROR(__xludf.DUMMYFUNCTION("IFNA(VLOOKUP(C76,IMPORTRANGE(""https://docs.google.com/spreadsheets/d/1rG8iy-kKSFDxhVaU60GJ2bpXc8tZqI1bT8U0Ac0DWTU/edit?usp=sharing"",""REGISTRATION!C:V""),20,FALSE),"""")"),"")</f>
        <v/>
      </c>
      <c r="H76" s="32" t="str">
        <f>IFERROR(__xludf.DUMMYFUNCTION("IFNA(VLOOKUP(C76,IMPORTRANGE(""https://docs.google.com/spreadsheets/d/1rG8iy-kKSFDxhVaU60GJ2bpXc8tZqI1bT8U0Ac0DWTU/edit?usp=sharing"",""REGISTRATION!C:V""),19,FALSE),"""")"),"None")</f>
        <v>None</v>
      </c>
    </row>
    <row r="77">
      <c r="C77" s="70" t="s">
        <v>65</v>
      </c>
      <c r="D77" s="32" t="str">
        <f>IFERROR(__xludf.DUMMYFUNCTION("IFNA(
IF(
VLOOKUP(C77,IMPORTRANGE(""https://docs.google.com/spreadsheets/d/1rG8iy-kKSFDxhVaU60GJ2bpXc8tZqI1bT8U0Ac0DWTU/edit?usp=sharing"",""REGISTRATION!C:X""),22,FALSE)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77" s="33" t="str">
        <f>IFERROR(__xludf.DUMMYFUNCTION("IFNA(
IF(
VLOOKUP(C77,IMPORTRANGE(""https://docs.google.com/spreadsheets/d/1rG8iy-kKSFDxhVaU60GJ2bpXc8tZqI1bT8U0Ac0DWTU/edit?usp=sharing"",""REGISTRATION!C:AB""),26,FALSE)
=""No"",
""No Candy"",
""""
),
""""
)"),"")</f>
        <v/>
      </c>
      <c r="F77" s="32" t="str">
        <f>IFERROR(__xludf.DUMMYFUNCTION("IFNA(VLOOKUP(C77,IMPORTRANGE(""https://docs.google.com/spreadsheets/d/1rG8iy-kKSFDxhVaU60GJ2bpXc8tZqI1bT8U0Ac0DWTU/edit?usp=sharing"",""REGISTRATION!C:V""),18,FALSE),"""")"),"None")</f>
        <v>None</v>
      </c>
      <c r="G77" s="32" t="str">
        <f>IFERROR(__xludf.DUMMYFUNCTION("IFNA(VLOOKUP(C77,IMPORTRANGE(""https://docs.google.com/spreadsheets/d/1rG8iy-kKSFDxhVaU60GJ2bpXc8tZqI1bT8U0Ac0DWTU/edit?usp=sharing"",""REGISTRATION!C:V""),20,FALSE),"""")"),"")</f>
        <v/>
      </c>
      <c r="H77" s="32" t="str">
        <f>IFERROR(__xludf.DUMMYFUNCTION("IFNA(VLOOKUP(C77,IMPORTRANGE(""https://docs.google.com/spreadsheets/d/1rG8iy-kKSFDxhVaU60GJ2bpXc8tZqI1bT8U0Ac0DWTU/edit?usp=sharing"",""REGISTRATION!C:V""),19,FALSE),"""")"),"None")</f>
        <v>None</v>
      </c>
    </row>
    <row r="78">
      <c r="C78" s="72" t="s">
        <v>45</v>
      </c>
      <c r="D78" s="25" t="str">
        <f>IFERROR(__xludf.DUMMYFUNCTION("IFNA(
IF(
VLOOKUP(C78,IMPORTRANGE(""https://docs.google.com/spreadsheets/d/1rG8iy-kKSFDxhVaU60GJ2bpXc8tZqI1bT8U0Ac0DWTU/edit?usp=sharing"",""REGISTRATION!C:X""),22,FALSE)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78" s="26" t="str">
        <f>IFERROR(__xludf.DUMMYFUNCTION("IFNA(
IF(
VLOOKUP(C78,IMPORTRANGE(""https://docs.google.com/spreadsheets/d/1rG8iy-kKSFDxhVaU60GJ2bpXc8tZqI1bT8U0Ac0DWTU/edit?usp=sharing"",""REGISTRATION!C:AB""),26,FALSE)
=""No"",
""No Candy"",
""""
),
""""
)"),"")</f>
        <v/>
      </c>
      <c r="F78" s="25" t="str">
        <f>IFERROR(__xludf.DUMMYFUNCTION("IFNA(VLOOKUP(C78,IMPORTRANGE(""https://docs.google.com/spreadsheets/d/1rG8iy-kKSFDxhVaU60GJ2bpXc8tZqI1bT8U0Ac0DWTU/edit?usp=sharing"",""REGISTRATION!C:V""),18,FALSE),"""")"),"None")</f>
        <v>None</v>
      </c>
      <c r="G78" s="25" t="str">
        <f>IFERROR(__xludf.DUMMYFUNCTION("IFNA(VLOOKUP(C78,IMPORTRANGE(""https://docs.google.com/spreadsheets/d/1rG8iy-kKSFDxhVaU60GJ2bpXc8tZqI1bT8U0Ac0DWTU/edit?usp=sharing"",""REGISTRATION!C:V""),20,FALSE),"""")"),"")</f>
        <v/>
      </c>
      <c r="H78" s="25" t="str">
        <f>IFERROR(__xludf.DUMMYFUNCTION("IFNA(VLOOKUP(C78,IMPORTRANGE(""https://docs.google.com/spreadsheets/d/1rG8iy-kKSFDxhVaU60GJ2bpXc8tZqI1bT8U0Ac0DWTU/edit?usp=sharing"",""REGISTRATION!C:V""),19,FALSE),"""")"),"ASD")</f>
        <v>ASD</v>
      </c>
    </row>
    <row r="79">
      <c r="C79" s="31"/>
      <c r="D79" s="32" t="str">
        <f>IFERROR(__xludf.DUMMYFUNCTION("IFNA(
IF(
VLOOKUP(C79,IMPORTRANGE(""https://docs.google.com/spreadsheets/d/1rG8iy-kKSFDxhVaU60GJ2bpXc8tZqI1bT8U0Ac0DWTU/edit?usp=sharing"",""REGISTRATION!C:X""),22,FALSE)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79" s="33" t="str">
        <f>IFERROR(__xludf.DUMMYFUNCTION("IFNA(
IF(
VLOOKUP(C79,IMPORTRANGE(""https://docs.google.com/spreadsheets/d/1rG8iy-kKSFDxhVaU60GJ2bpXc8tZqI1bT8U0Ac0DWTU/edit?usp=sharing"",""REGISTRATION!C:AB""),26,FALSE)
=""No"",
""No Candy"",
""""
),
""""
)"),"")</f>
        <v/>
      </c>
      <c r="F79" s="32" t="str">
        <f>IFERROR(__xludf.DUMMYFUNCTION("IFNA(VLOOKUP(C79,IMPORTRANGE(""https://docs.google.com/spreadsheets/d/1rG8iy-kKSFDxhVaU60GJ2bpXc8tZqI1bT8U0Ac0DWTU/edit?usp=sharing"",""REGISTRATION!C:V""),18,FALSE),"""")"),"")</f>
        <v/>
      </c>
      <c r="G79" s="32" t="str">
        <f>IFERROR(__xludf.DUMMYFUNCTION("IFNA(VLOOKUP(C79,IMPORTRANGE(""https://docs.google.com/spreadsheets/d/1rG8iy-kKSFDxhVaU60GJ2bpXc8tZqI1bT8U0Ac0DWTU/edit?usp=sharing"",""REGISTRATION!C:V""),20,FALSE),"""")"),"")</f>
        <v/>
      </c>
      <c r="H79" s="32" t="str">
        <f>IFERROR(__xludf.DUMMYFUNCTION("IFNA(VLOOKUP(C79,IMPORTRANGE(""https://docs.google.com/spreadsheets/d/1rG8iy-kKSFDxhVaU60GJ2bpXc8tZqI1bT8U0Ac0DWTU/edit?usp=sharing"",""REGISTRATION!C:V""),19,FALSE),"""")"),"")</f>
        <v/>
      </c>
    </row>
    <row r="80">
      <c r="C80" s="31"/>
      <c r="D80" s="32" t="str">
        <f>IFERROR(__xludf.DUMMYFUNCTION("IFNA(
IF(
VLOOKUP(C80,IMPORTRANGE(""https://docs.google.com/spreadsheets/d/1rG8iy-kKSFDxhVaU60GJ2bpXc8tZqI1bT8U0Ac0DWTU/edit?usp=sharing"",""REGISTRATION!C:X""),22,FALSE)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80" s="33" t="str">
        <f>IFERROR(__xludf.DUMMYFUNCTION("IFNA(
IF(
VLOOKUP(C80,IMPORTRANGE(""https://docs.google.com/spreadsheets/d/1rG8iy-kKSFDxhVaU60GJ2bpXc8tZqI1bT8U0Ac0DWTU/edit?usp=sharing"",""REGISTRATION!C:AB""),26,FALSE)
=""No"",
""No Candy"",
""""
),
""""
)"),"")</f>
        <v/>
      </c>
      <c r="F80" s="32" t="str">
        <f>IFERROR(__xludf.DUMMYFUNCTION("IFNA(VLOOKUP(C80,IMPORTRANGE(""https://docs.google.com/spreadsheets/d/1rG8iy-kKSFDxhVaU60GJ2bpXc8tZqI1bT8U0Ac0DWTU/edit?usp=sharing"",""REGISTRATION!C:V""),18,FALSE),"""")"),"")</f>
        <v/>
      </c>
      <c r="G80" s="32" t="str">
        <f>IFERROR(__xludf.DUMMYFUNCTION("IFNA(VLOOKUP(C80,IMPORTRANGE(""https://docs.google.com/spreadsheets/d/1rG8iy-kKSFDxhVaU60GJ2bpXc8tZqI1bT8U0Ac0DWTU/edit?usp=sharing"",""REGISTRATION!C:V""),20,FALSE),"""")"),"")</f>
        <v/>
      </c>
      <c r="H80" s="32" t="str">
        <f>IFERROR(__xludf.DUMMYFUNCTION("IFNA(VLOOKUP(C80,IMPORTRANGE(""https://docs.google.com/spreadsheets/d/1rG8iy-kKSFDxhVaU60GJ2bpXc8tZqI1bT8U0Ac0DWTU/edit?usp=sharing"",""REGISTRATION!C:V""),19,FALSE),"""")"),"")</f>
        <v/>
      </c>
    </row>
    <row r="81">
      <c r="C81" s="31"/>
      <c r="D81" s="32" t="str">
        <f>IFERROR(__xludf.DUMMYFUNCTION("IFNA(
IF(
VLOOKUP(C81,IMPORTRANGE(""https://docs.google.com/spreadsheets/d/1rG8iy-kKSFDxhVaU60GJ2bpXc8tZqI1bT8U0Ac0DWTU/edit?usp=sharing"",""REGISTRATION!C:X""),22,FALSE)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81" s="33" t="str">
        <f>IFERROR(__xludf.DUMMYFUNCTION("IFNA(
IF(
VLOOKUP(C81,IMPORTRANGE(""https://docs.google.com/spreadsheets/d/1rG8iy-kKSFDxhVaU60GJ2bpXc8tZqI1bT8U0Ac0DWTU/edit?usp=sharing"",""REGISTRATION!C:AB""),26,FALSE)
=""No"",
""No Candy"",
""""
),
""""
)"),"")</f>
        <v/>
      </c>
      <c r="F81" s="32" t="str">
        <f>IFERROR(__xludf.DUMMYFUNCTION("IFNA(VLOOKUP(C81,IMPORTRANGE(""https://docs.google.com/spreadsheets/d/1rG8iy-kKSFDxhVaU60GJ2bpXc8tZqI1bT8U0Ac0DWTU/edit?usp=sharing"",""REGISTRATION!C:V""),18,FALSE),"""")"),"")</f>
        <v/>
      </c>
      <c r="G81" s="32" t="str">
        <f>IFERROR(__xludf.DUMMYFUNCTION("IFNA(VLOOKUP(C81,IMPORTRANGE(""https://docs.google.com/spreadsheets/d/1rG8iy-kKSFDxhVaU60GJ2bpXc8tZqI1bT8U0Ac0DWTU/edit?usp=sharing"",""REGISTRATION!C:V""),20,FALSE),"""")"),"")</f>
        <v/>
      </c>
      <c r="H81" s="32" t="str">
        <f>IFERROR(__xludf.DUMMYFUNCTION("IFNA(VLOOKUP(C81,IMPORTRANGE(""https://docs.google.com/spreadsheets/d/1rG8iy-kKSFDxhVaU60GJ2bpXc8tZqI1bT8U0Ac0DWTU/edit?usp=sharing"",""REGISTRATION!C:V""),19,FALSE),"""")"),"")</f>
        <v/>
      </c>
    </row>
    <row r="82">
      <c r="C82" s="48"/>
      <c r="D82" s="32" t="str">
        <f>IFERROR(__xludf.DUMMYFUNCTION("IFNA(
IF(
VLOOKUP(C82,IMPORTRANGE(""https://docs.google.com/spreadsheets/d/1rG8iy-kKSFDxhVaU60GJ2bpXc8tZqI1bT8U0Ac0DWTU/edit?usp=sharing"",""REGISTRATION!C:X""),22,FALSE)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82" s="33" t="str">
        <f>IFERROR(__xludf.DUMMYFUNCTION("IFNA(
IF(
VLOOKUP(C82,IMPORTRANGE(""https://docs.google.com/spreadsheets/d/1rG8iy-kKSFDxhVaU60GJ2bpXc8tZqI1bT8U0Ac0DWTU/edit?usp=sharing"",""REGISTRATION!C:AB""),26,FALSE)
=""No"",
""No Candy"",
""""
),
""""
)"),"")</f>
        <v/>
      </c>
      <c r="F82" s="32" t="str">
        <f>IFERROR(__xludf.DUMMYFUNCTION("IFNA(VLOOKUP(C82,IMPORTRANGE(""https://docs.google.com/spreadsheets/d/1rG8iy-kKSFDxhVaU60GJ2bpXc8tZqI1bT8U0Ac0DWTU/edit?usp=sharing"",""REGISTRATION!C:V""),18,FALSE),"""")"),"")</f>
        <v/>
      </c>
      <c r="G82" s="32" t="str">
        <f>IFERROR(__xludf.DUMMYFUNCTION("IFNA(VLOOKUP(C82,IMPORTRANGE(""https://docs.google.com/spreadsheets/d/1rG8iy-kKSFDxhVaU60GJ2bpXc8tZqI1bT8U0Ac0DWTU/edit?usp=sharing"",""REGISTRATION!C:V""),20,FALSE),"""")"),"")</f>
        <v/>
      </c>
      <c r="H82" s="32" t="str">
        <f>IFERROR(__xludf.DUMMYFUNCTION("IFNA(VLOOKUP(C82,IMPORTRANGE(""https://docs.google.com/spreadsheets/d/1rG8iy-kKSFDxhVaU60GJ2bpXc8tZqI1bT8U0Ac0DWTU/edit?usp=sharing"",""REGISTRATION!C:V""),19,FALSE),"""")"),"")</f>
        <v/>
      </c>
    </row>
    <row r="83">
      <c r="C83" s="48"/>
      <c r="D83" s="32" t="str">
        <f>IFERROR(__xludf.DUMMYFUNCTION("IFNA(
IF(
VLOOKUP(C83,IMPORTRANGE(""https://docs.google.com/spreadsheets/d/1rG8iy-kKSFDxhVaU60GJ2bpXc8tZqI1bT8U0Ac0DWTU/edit?usp=sharing"",""REGISTRATION!C:X""),22,FALSE)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83" s="33" t="str">
        <f>IFERROR(__xludf.DUMMYFUNCTION("IFNA(
IF(
VLOOKUP(C83,IMPORTRANGE(""https://docs.google.com/spreadsheets/d/1rG8iy-kKSFDxhVaU60GJ2bpXc8tZqI1bT8U0Ac0DWTU/edit?usp=sharing"",""REGISTRATION!C:AB""),26,FALSE)
=""No"",
""No Candy"",
""""
),
""""
)"),"")</f>
        <v/>
      </c>
      <c r="F83" s="32" t="str">
        <f>IFERROR(__xludf.DUMMYFUNCTION("IFNA(VLOOKUP(C83,IMPORTRANGE(""https://docs.google.com/spreadsheets/d/1rG8iy-kKSFDxhVaU60GJ2bpXc8tZqI1bT8U0Ac0DWTU/edit?usp=sharing"",""REGISTRATION!C:V""),18,FALSE),"""")"),"")</f>
        <v/>
      </c>
      <c r="G83" s="32" t="str">
        <f>IFERROR(__xludf.DUMMYFUNCTION("IFNA(VLOOKUP(C83,IMPORTRANGE(""https://docs.google.com/spreadsheets/d/1rG8iy-kKSFDxhVaU60GJ2bpXc8tZqI1bT8U0Ac0DWTU/edit?usp=sharing"",""REGISTRATION!C:V""),20,FALSE),"""")"),"")</f>
        <v/>
      </c>
      <c r="H83" s="32" t="str">
        <f>IFERROR(__xludf.DUMMYFUNCTION("IFNA(VLOOKUP(C83,IMPORTRANGE(""https://docs.google.com/spreadsheets/d/1rG8iy-kKSFDxhVaU60GJ2bpXc8tZqI1bT8U0Ac0DWTU/edit?usp=sharing"",""REGISTRATION!C:V""),19,FALSE),"""")"),"")</f>
        <v/>
      </c>
    </row>
    <row r="84">
      <c r="A84" s="15" t="s">
        <v>134</v>
      </c>
      <c r="B84" s="15" t="s">
        <v>241</v>
      </c>
      <c r="C84" s="56" t="s">
        <v>72</v>
      </c>
      <c r="D84" s="21" t="str">
        <f>IFERROR(__xludf.DUMMYFUNCTION("IFNA(
IF(
VLOOKUP(C84,IMPORTRANGE(""https://docs.google.com/spreadsheets/d/1rG8iy-kKSFDxhVaU60GJ2bpXc8tZqI1bT8U0Ac0DWTU/edit?usp=sharing"",""REGISTRATION!C:X""),22,FALSE)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84" s="22" t="str">
        <f>IFERROR(__xludf.DUMMYFUNCTION("IFNA(
IF(
VLOOKUP(C84,IMPORTRANGE(""https://docs.google.com/spreadsheets/d/1rG8iy-kKSFDxhVaU60GJ2bpXc8tZqI1bT8U0Ac0DWTU/edit?usp=sharing"",""REGISTRATION!C:AB""),26,FALSE)
=""No"",
""No Candy"",
""""
),
""""
)"),"")</f>
        <v/>
      </c>
      <c r="F84" s="21" t="str">
        <f>IFERROR(__xludf.DUMMYFUNCTION("IFNA(VLOOKUP(C84,IMPORTRANGE(""https://docs.google.com/spreadsheets/d/1rG8iy-kKSFDxhVaU60GJ2bpXc8tZqI1bT8U0Ac0DWTU/edit?usp=sharing"",""REGISTRATION!C:V""),18,FALSE),"""")"),"None")</f>
        <v>None</v>
      </c>
      <c r="G84" s="21" t="str">
        <f>IFERROR(__xludf.DUMMYFUNCTION("IFNA(VLOOKUP(C84,IMPORTRANGE(""https://docs.google.com/spreadsheets/d/1rG8iy-kKSFDxhVaU60GJ2bpXc8tZqI1bT8U0Ac0DWTU/edit?usp=sharing"",""REGISTRATION!C:V""),20,FALSE),"""")"),"")</f>
        <v/>
      </c>
      <c r="H84" s="21" t="str">
        <f>IFERROR(__xludf.DUMMYFUNCTION("IFNA(VLOOKUP(C84,IMPORTRANGE(""https://docs.google.com/spreadsheets/d/1rG8iy-kKSFDxhVaU60GJ2bpXc8tZqI1bT8U0Ac0DWTU/edit?usp=sharing"",""REGISTRATION!C:V""),19,FALSE),"""")"),"IEP")</f>
        <v>IEP</v>
      </c>
    </row>
    <row r="85">
      <c r="C85" s="56" t="s">
        <v>74</v>
      </c>
      <c r="D85" s="21" t="str">
        <f>IFERROR(__xludf.DUMMYFUNCTION("IFNA(
IF(
VLOOKUP(C85,IMPORTRANGE(""https://docs.google.com/spreadsheets/d/1rG8iy-kKSFDxhVaU60GJ2bpXc8tZqI1bT8U0Ac0DWTU/edit?usp=sharing"",""REGISTRATION!C:X""),22,FALSE)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85" s="22" t="str">
        <f>IFERROR(__xludf.DUMMYFUNCTION("IFNA(
IF(
VLOOKUP(C85,IMPORTRANGE(""https://docs.google.com/spreadsheets/d/1rG8iy-kKSFDxhVaU60GJ2bpXc8tZqI1bT8U0Ac0DWTU/edit?usp=sharing"",""REGISTRATION!C:AB""),26,FALSE)
=""No"",
""No Candy"",
""""
),
""""
)"),"")</f>
        <v/>
      </c>
      <c r="F85" s="21" t="str">
        <f>IFERROR(__xludf.DUMMYFUNCTION("IFNA(VLOOKUP(C85,IMPORTRANGE(""https://docs.google.com/spreadsheets/d/1rG8iy-kKSFDxhVaU60GJ2bpXc8tZqI1bT8U0Ac0DWTU/edit?usp=sharing"",""REGISTRATION!C:V""),18,FALSE),"""")"),"None")</f>
        <v>None</v>
      </c>
      <c r="G85" s="21" t="str">
        <f>IFERROR(__xludf.DUMMYFUNCTION("IFNA(VLOOKUP(C85,IMPORTRANGE(""https://docs.google.com/spreadsheets/d/1rG8iy-kKSFDxhVaU60GJ2bpXc8tZqI1bT8U0Ac0DWTU/edit?usp=sharing"",""REGISTRATION!C:V""),20,FALSE),"""")"),"He has participated in FLL Challenge last year.")</f>
        <v>He has participated in FLL Challenge last year.</v>
      </c>
      <c r="H85" s="21" t="str">
        <f>IFERROR(__xludf.DUMMYFUNCTION("IFNA(VLOOKUP(C85,IMPORTRANGE(""https://docs.google.com/spreadsheets/d/1rG8iy-kKSFDxhVaU60GJ2bpXc8tZqI1bT8U0Ac0DWTU/edit?usp=sharing"",""REGISTRATION!C:V""),19,FALSE),"""")"),"None")</f>
        <v>None</v>
      </c>
    </row>
    <row r="86">
      <c r="C86" s="56" t="s">
        <v>153</v>
      </c>
      <c r="D86" s="21" t="str">
        <f>IFERROR(__xludf.DUMMYFUNCTION("IFNA(
IF(
VLOOKUP(C86,IMPORTRANGE(""https://docs.google.com/spreadsheets/d/1rG8iy-kKSFDxhVaU60GJ2bpXc8tZqI1bT8U0Ac0DWTU/edit?usp=sharing"",""REGISTRATION!C:X""),22,FALSE)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86" s="22" t="str">
        <f>IFERROR(__xludf.DUMMYFUNCTION("IFNA(
IF(
VLOOKUP(C86,IMPORTRANGE(""https://docs.google.com/spreadsheets/d/1rG8iy-kKSFDxhVaU60GJ2bpXc8tZqI1bT8U0Ac0DWTU/edit?usp=sharing"",""REGISTRATION!C:AB""),26,FALSE)
=""No"",
""No Candy"",
""""
),
""""
)"),"")</f>
        <v/>
      </c>
      <c r="F86" s="21" t="str">
        <f>IFERROR(__xludf.DUMMYFUNCTION("IFNA(VLOOKUP(C86,IMPORTRANGE(""https://docs.google.com/spreadsheets/d/1rG8iy-kKSFDxhVaU60GJ2bpXc8tZqI1bT8U0Ac0DWTU/edit?usp=sharing"",""REGISTRATION!C:V""),18,FALSE),"""")"),"None")</f>
        <v>None</v>
      </c>
      <c r="G86" s="21" t="str">
        <f>IFERROR(__xludf.DUMMYFUNCTION("IFNA(VLOOKUP(C86,IMPORTRANGE(""https://docs.google.com/spreadsheets/d/1rG8iy-kKSFDxhVaU60GJ2bpXc8tZqI1bT8U0Ac0DWTU/edit?usp=sharing"",""REGISTRATION!C:V""),20,FALSE),"""")"),"")</f>
        <v/>
      </c>
      <c r="H86" s="21" t="str">
        <f>IFERROR(__xludf.DUMMYFUNCTION("IFNA(VLOOKUP(C86,IMPORTRANGE(""https://docs.google.com/spreadsheets/d/1rG8iy-kKSFDxhVaU60GJ2bpXc8tZqI1bT8U0Ac0DWTU/edit?usp=sharing"",""REGISTRATION!C:V""),19,FALSE),"""")"),"None")</f>
        <v>None</v>
      </c>
    </row>
    <row r="87">
      <c r="C87" s="56" t="s">
        <v>75</v>
      </c>
      <c r="D87" s="21" t="str">
        <f>IFERROR(__xludf.DUMMYFUNCTION("IFNA(
IF(
VLOOKUP(C87,IMPORTRANGE(""https://docs.google.com/spreadsheets/d/1rG8iy-kKSFDxhVaU60GJ2bpXc8tZqI1bT8U0Ac0DWTU/edit?usp=sharing"",""REGISTRATION!C:X""),22,FALSE)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87" s="22" t="str">
        <f>IFERROR(__xludf.DUMMYFUNCTION("IFNA(
IF(
VLOOKUP(C87,IMPORTRANGE(""https://docs.google.com/spreadsheets/d/1rG8iy-kKSFDxhVaU60GJ2bpXc8tZqI1bT8U0Ac0DWTU/edit?usp=sharing"",""REGISTRATION!C:AB""),26,FALSE)
=""No"",
""No Candy"",
""""
),
""""
)"),"")</f>
        <v/>
      </c>
      <c r="F87" s="21" t="str">
        <f>IFERROR(__xludf.DUMMYFUNCTION("IFNA(VLOOKUP(C87,IMPORTRANGE(""https://docs.google.com/spreadsheets/d/1rG8iy-kKSFDxhVaU60GJ2bpXc8tZqI1bT8U0Ac0DWTU/edit?usp=sharing"",""REGISTRATION!C:V""),18,FALSE),"""")"),"None")</f>
        <v>None</v>
      </c>
      <c r="G87" s="21" t="str">
        <f>IFERROR(__xludf.DUMMYFUNCTION("IFNA(VLOOKUP(C87,IMPORTRANGE(""https://docs.google.com/spreadsheets/d/1rG8iy-kKSFDxhVaU60GJ2bpXc8tZqI1bT8U0Ac0DWTU/edit?usp=sharing"",""REGISTRATION!C:V""),20,FALSE),"""")"),"")</f>
        <v/>
      </c>
      <c r="H87" s="21" t="str">
        <f>IFERROR(__xludf.DUMMYFUNCTION("IFNA(VLOOKUP(C87,IMPORTRANGE(""https://docs.google.com/spreadsheets/d/1rG8iy-kKSFDxhVaU60GJ2bpXc8tZqI1bT8U0Ac0DWTU/edit?usp=sharing"",""REGISTRATION!C:V""),19,FALSE),"""")"),"None")</f>
        <v>None</v>
      </c>
    </row>
    <row r="88">
      <c r="C88" s="56" t="s">
        <v>76</v>
      </c>
      <c r="D88" s="21" t="str">
        <f>IFERROR(__xludf.DUMMYFUNCTION("IFNA(
IF(
VLOOKUP(C88,IMPORTRANGE(""https://docs.google.com/spreadsheets/d/1rG8iy-kKSFDxhVaU60GJ2bpXc8tZqI1bT8U0Ac0DWTU/edit?usp=sharing"",""REGISTRATION!C:X""),22,FALSE)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88" s="22" t="str">
        <f>IFERROR(__xludf.DUMMYFUNCTION("IFNA(
IF(
VLOOKUP(C88,IMPORTRANGE(""https://docs.google.com/spreadsheets/d/1rG8iy-kKSFDxhVaU60GJ2bpXc8tZqI1bT8U0Ac0DWTU/edit?usp=sharing"",""REGISTRATION!C:AB""),26,FALSE)
=""No"",
""No Candy"",
""""
),
""""
)"),"")</f>
        <v/>
      </c>
      <c r="F88" s="21" t="str">
        <f>IFERROR(__xludf.DUMMYFUNCTION("IFNA(VLOOKUP(C88,IMPORTRANGE(""https://docs.google.com/spreadsheets/d/1rG8iy-kKSFDxhVaU60GJ2bpXc8tZqI1bT8U0Ac0DWTU/edit?usp=sharing"",""REGISTRATION!C:V""),18,FALSE),"""")"),"None")</f>
        <v>None</v>
      </c>
      <c r="G88" s="21" t="str">
        <f>IFERROR(__xludf.DUMMYFUNCTION("IFNA(VLOOKUP(C88,IMPORTRANGE(""https://docs.google.com/spreadsheets/d/1rG8iy-kKSFDxhVaU60GJ2bpXc8tZqI1bT8U0Ac0DWTU/edit?usp=sharing"",""REGISTRATION!C:V""),20,FALSE),"""")"),"")</f>
        <v/>
      </c>
      <c r="H88" s="21" t="str">
        <f>IFERROR(__xludf.DUMMYFUNCTION("IFNA(VLOOKUP(C88,IMPORTRANGE(""https://docs.google.com/spreadsheets/d/1rG8iy-kKSFDxhVaU60GJ2bpXc8tZqI1bT8U0Ac0DWTU/edit?usp=sharing"",""REGISTRATION!C:V""),19,FALSE),"""")"),"None")</f>
        <v>None</v>
      </c>
    </row>
    <row r="89">
      <c r="C89" s="56" t="s">
        <v>77</v>
      </c>
      <c r="D89" s="21" t="str">
        <f>IFERROR(__xludf.DUMMYFUNCTION("IFNA(
IF(
VLOOKUP(C89,IMPORTRANGE(""https://docs.google.com/spreadsheets/d/1rG8iy-kKSFDxhVaU60GJ2bpXc8tZqI1bT8U0Ac0DWTU/edit?usp=sharing"",""REGISTRATION!C:X""),22,FALSE)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89" s="22" t="str">
        <f>IFERROR(__xludf.DUMMYFUNCTION("IFNA(
IF(
VLOOKUP(C89,IMPORTRANGE(""https://docs.google.com/spreadsheets/d/1rG8iy-kKSFDxhVaU60GJ2bpXc8tZqI1bT8U0Ac0DWTU/edit?usp=sharing"",""REGISTRATION!C:AB""),26,FALSE)
=""No"",
""No Candy"",
""""
),
""""
)"),"")</f>
        <v/>
      </c>
      <c r="F89" s="21" t="str">
        <f>IFERROR(__xludf.DUMMYFUNCTION("IFNA(VLOOKUP(C89,IMPORTRANGE(""https://docs.google.com/spreadsheets/d/1rG8iy-kKSFDxhVaU60GJ2bpXc8tZqI1bT8U0Ac0DWTU/edit?usp=sharing"",""REGISTRATION!C:V""),18,FALSE),"""")"),"No meat or fish")</f>
        <v>No meat or fish</v>
      </c>
      <c r="G89" s="21" t="str">
        <f>IFERROR(__xludf.DUMMYFUNCTION("IFNA(VLOOKUP(C89,IMPORTRANGE(""https://docs.google.com/spreadsheets/d/1rG8iy-kKSFDxhVaU60GJ2bpXc8tZqI1bT8U0Ac0DWTU/edit?usp=sharing"",""REGISTRATION!C:V""),20,FALSE),"""")"),"Rising 6th grader from Campus Middle School ")</f>
        <v>Rising 6th grader from Campus Middle School </v>
      </c>
      <c r="H89" s="21" t="str">
        <f>IFERROR(__xludf.DUMMYFUNCTION("IFNA(VLOOKUP(C89,IMPORTRANGE(""https://docs.google.com/spreadsheets/d/1rG8iy-kKSFDxhVaU60GJ2bpXc8tZqI1bT8U0Ac0DWTU/edit?usp=sharing"",""REGISTRATION!C:V""),19,FALSE),"""")"),"None")</f>
        <v>None</v>
      </c>
    </row>
    <row r="90">
      <c r="C90" s="56" t="s">
        <v>79</v>
      </c>
      <c r="D90" s="21" t="str">
        <f>IFERROR(__xludf.DUMMYFUNCTION("IFNA(
IF(
VLOOKUP(C90,IMPORTRANGE(""https://docs.google.com/spreadsheets/d/1rG8iy-kKSFDxhVaU60GJ2bpXc8tZqI1bT8U0Ac0DWTU/edit?usp=sharing"",""REGISTRATION!C:X""),22,FALSE)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90" s="22" t="str">
        <f>IFERROR(__xludf.DUMMYFUNCTION("IFNA(
IF(
VLOOKUP(C90,IMPORTRANGE(""https://docs.google.com/spreadsheets/d/1rG8iy-kKSFDxhVaU60GJ2bpXc8tZqI1bT8U0Ac0DWTU/edit?usp=sharing"",""REGISTRATION!C:AB""),26,FALSE)
=""No"",
""No Candy"",
""""
),
""""
)"),"")</f>
        <v/>
      </c>
      <c r="F90" s="21" t="str">
        <f>IFERROR(__xludf.DUMMYFUNCTION("IFNA(VLOOKUP(C90,IMPORTRANGE(""https://docs.google.com/spreadsheets/d/1rG8iy-kKSFDxhVaU60GJ2bpXc8tZqI1bT8U0Ac0DWTU/edit?usp=sharing"",""REGISTRATION!C:V""),18,FALSE),"""")"),"None")</f>
        <v>None</v>
      </c>
      <c r="G90" s="21" t="str">
        <f>IFERROR(__xludf.DUMMYFUNCTION("IFNA(VLOOKUP(C90,IMPORTRANGE(""https://docs.google.com/spreadsheets/d/1rG8iy-kKSFDxhVaU60GJ2bpXc8tZqI1bT8U0Ac0DWTU/edit?usp=sharing"",""REGISTRATION!C:V""),20,FALSE),"""")"),"")</f>
        <v/>
      </c>
      <c r="H90" s="21" t="str">
        <f>IFERROR(__xludf.DUMMYFUNCTION("IFNA(VLOOKUP(C90,IMPORTRANGE(""https://docs.google.com/spreadsheets/d/1rG8iy-kKSFDxhVaU60GJ2bpXc8tZqI1bT8U0Ac0DWTU/edit?usp=sharing"",""REGISTRATION!C:V""),19,FALSE),"""")"),"None")</f>
        <v>None</v>
      </c>
    </row>
    <row r="91">
      <c r="C91" s="56" t="s">
        <v>80</v>
      </c>
      <c r="D91" s="21" t="str">
        <f>IFERROR(__xludf.DUMMYFUNCTION("IFNA(
IF(
VLOOKUP(C91,IMPORTRANGE(""https://docs.google.com/spreadsheets/d/1rG8iy-kKSFDxhVaU60GJ2bpXc8tZqI1bT8U0Ac0DWTU/edit?usp=sharing"",""REGISTRATION!C:X""),22,FALSE)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91" s="22" t="str">
        <f>IFERROR(__xludf.DUMMYFUNCTION("IFNA(
IF(
VLOOKUP(C91,IMPORTRANGE(""https://docs.google.com/spreadsheets/d/1rG8iy-kKSFDxhVaU60GJ2bpXc8tZqI1bT8U0Ac0DWTU/edit?usp=sharing"",""REGISTRATION!C:AB""),26,FALSE)
=""No"",
""No Candy"",
""""
),
""""
)"),"")</f>
        <v/>
      </c>
      <c r="F91" s="21" t="str">
        <f>IFERROR(__xludf.DUMMYFUNCTION("IFNA(VLOOKUP(C91,IMPORTRANGE(""https://docs.google.com/spreadsheets/d/1rG8iy-kKSFDxhVaU60GJ2bpXc8tZqI1bT8U0Ac0DWTU/edit?usp=sharing"",""REGISTRATION!C:V""),18,FALSE),"""")"),"None")</f>
        <v>None</v>
      </c>
      <c r="G91" s="21" t="str">
        <f>IFERROR(__xludf.DUMMYFUNCTION("IFNA(VLOOKUP(C91,IMPORTRANGE(""https://docs.google.com/spreadsheets/d/1rG8iy-kKSFDxhVaU60GJ2bpXc8tZqI1bT8U0Ac0DWTU/edit?usp=sharing"",""REGISTRATION!C:V""),20,FALSE),"""")"),"")</f>
        <v/>
      </c>
      <c r="H91" s="21" t="str">
        <f>IFERROR(__xludf.DUMMYFUNCTION("IFNA(VLOOKUP(C91,IMPORTRANGE(""https://docs.google.com/spreadsheets/d/1rG8iy-kKSFDxhVaU60GJ2bpXc8tZqI1bT8U0Ac0DWTU/edit?usp=sharing"",""REGISTRATION!C:V""),19,FALSE),"""")"),"None")</f>
        <v>None</v>
      </c>
    </row>
    <row r="92">
      <c r="C92" s="56" t="s">
        <v>83</v>
      </c>
      <c r="D92" s="21" t="str">
        <f>IFERROR(__xludf.DUMMYFUNCTION("IFNA(
IF(
VLOOKUP(C92,IMPORTRANGE(""https://docs.google.com/spreadsheets/d/1rG8iy-kKSFDxhVaU60GJ2bpXc8tZqI1bT8U0Ac0DWTU/edit?usp=sharing"",""REGISTRATION!C:X""),22,FALSE)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92" s="22" t="str">
        <f>IFERROR(__xludf.DUMMYFUNCTION("IFNA(
IF(
VLOOKUP(C92,IMPORTRANGE(""https://docs.google.com/spreadsheets/d/1rG8iy-kKSFDxhVaU60GJ2bpXc8tZqI1bT8U0Ac0DWTU/edit?usp=sharing"",""REGISTRATION!C:AB""),26,FALSE)
=""No"",
""No Candy"",
""""
),
""""
)"),"No Candy")</f>
        <v>No Candy</v>
      </c>
      <c r="F92" s="21" t="str">
        <f>IFERROR(__xludf.DUMMYFUNCTION("IFNA(VLOOKUP(C92,IMPORTRANGE(""https://docs.google.com/spreadsheets/d/1rG8iy-kKSFDxhVaU60GJ2bpXc8tZqI1bT8U0Ac0DWTU/edit?usp=sharing"",""REGISTRATION!C:V""),18,FALSE),"""")"),"None")</f>
        <v>None</v>
      </c>
      <c r="G92" s="21" t="str">
        <f>IFERROR(__xludf.DUMMYFUNCTION("IFNA(VLOOKUP(C92,IMPORTRANGE(""https://docs.google.com/spreadsheets/d/1rG8iy-kKSFDxhVaU60GJ2bpXc8tZqI1bT8U0Ac0DWTU/edit?usp=sharing"",""REGISTRATION!C:V""),20,FALSE),"""")"),"")</f>
        <v/>
      </c>
      <c r="H92" s="21" t="str">
        <f>IFERROR(__xludf.DUMMYFUNCTION("IFNA(VLOOKUP(C92,IMPORTRANGE(""https://docs.google.com/spreadsheets/d/1rG8iy-kKSFDxhVaU60GJ2bpXc8tZqI1bT8U0Ac0DWTU/edit?usp=sharing"",""REGISTRATION!C:V""),19,FALSE),"""")"),"None")</f>
        <v>None</v>
      </c>
    </row>
    <row r="93">
      <c r="C93" s="56" t="s">
        <v>91</v>
      </c>
      <c r="D93" s="21" t="str">
        <f>IFERROR(__xludf.DUMMYFUNCTION("IFNA(
IF(
VLOOKUP(C93,IMPORTRANGE(""https://docs.google.com/spreadsheets/d/1rG8iy-kKSFDxhVaU60GJ2bpXc8tZqI1bT8U0Ac0DWTU/edit?usp=sharing"",""REGISTRATION!C:X""),22,FALSE)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93" s="22" t="str">
        <f>IFERROR(__xludf.DUMMYFUNCTION("IFNA(
IF(
VLOOKUP(C93,IMPORTRANGE(""https://docs.google.com/spreadsheets/d/1rG8iy-kKSFDxhVaU60GJ2bpXc8tZqI1bT8U0Ac0DWTU/edit?usp=sharing"",""REGISTRATION!C:AB""),26,FALSE)
=""No"",
""No Candy"",
""""
),
""""
)"),"")</f>
        <v/>
      </c>
      <c r="F93" s="21" t="str">
        <f>IFERROR(__xludf.DUMMYFUNCTION("IFNA(VLOOKUP(C93,IMPORTRANGE(""https://docs.google.com/spreadsheets/d/1rG8iy-kKSFDxhVaU60GJ2bpXc8tZqI1bT8U0Ac0DWTU/edit?usp=sharing"",""REGISTRATION!C:V""),18,FALSE),"""")"),"None")</f>
        <v>None</v>
      </c>
      <c r="G93" s="21" t="str">
        <f>IFERROR(__xludf.DUMMYFUNCTION("IFNA(VLOOKUP(C93,IMPORTRANGE(""https://docs.google.com/spreadsheets/d/1rG8iy-kKSFDxhVaU60GJ2bpXc8tZqI1bT8U0Ac0DWTU/edit?usp=sharing"",""REGISTRATION!C:V""),20,FALSE),"""")"),"")</f>
        <v/>
      </c>
      <c r="H93" s="21" t="str">
        <f>IFERROR(__xludf.DUMMYFUNCTION("IFNA(VLOOKUP(C93,IMPORTRANGE(""https://docs.google.com/spreadsheets/d/1rG8iy-kKSFDxhVaU60GJ2bpXc8tZqI1bT8U0Ac0DWTU/edit?usp=sharing"",""REGISTRATION!C:V""),19,FALSE),"""")"),"None")</f>
        <v>None</v>
      </c>
    </row>
    <row r="94">
      <c r="C94" s="56" t="s">
        <v>93</v>
      </c>
      <c r="D94" s="21" t="str">
        <f>IFERROR(__xludf.DUMMYFUNCTION("IFNA(
IF(
VLOOKUP(C94,IMPORTRANGE(""https://docs.google.com/spreadsheets/d/1rG8iy-kKSFDxhVaU60GJ2bpXc8tZqI1bT8U0Ac0DWTU/edit?usp=sharing"",""REGISTRATION!C:X""),22,FALSE)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94" s="22" t="str">
        <f>IFERROR(__xludf.DUMMYFUNCTION("IFNA(
IF(
VLOOKUP(C94,IMPORTRANGE(""https://docs.google.com/spreadsheets/d/1rG8iy-kKSFDxhVaU60GJ2bpXc8tZqI1bT8U0Ac0DWTU/edit?usp=sharing"",""REGISTRATION!C:AB""),26,FALSE)
=""No"",
""No Candy"",
""""
),
""""
)"),"")</f>
        <v/>
      </c>
      <c r="F94" s="21" t="str">
        <f>IFERROR(__xludf.DUMMYFUNCTION("IFNA(VLOOKUP(C94,IMPORTRANGE(""https://docs.google.com/spreadsheets/d/1rG8iy-kKSFDxhVaU60GJ2bpXc8tZqI1bT8U0Ac0DWTU/edit?usp=sharing"",""REGISTRATION!C:V""),18,FALSE),"""")"),"None")</f>
        <v>None</v>
      </c>
      <c r="G94" s="21" t="str">
        <f>IFERROR(__xludf.DUMMYFUNCTION("IFNA(VLOOKUP(C94,IMPORTRANGE(""https://docs.google.com/spreadsheets/d/1rG8iy-kKSFDxhVaU60GJ2bpXc8tZqI1bT8U0Ac0DWTU/edit?usp=sharing"",""REGISTRATION!C:V""),20,FALSE),"""")"),"")</f>
        <v/>
      </c>
      <c r="H94" s="21" t="str">
        <f>IFERROR(__xludf.DUMMYFUNCTION("IFNA(VLOOKUP(C94,IMPORTRANGE(""https://docs.google.com/spreadsheets/d/1rG8iy-kKSFDxhVaU60GJ2bpXc8tZqI1bT8U0Ac0DWTU/edit?usp=sharing"",""REGISTRATION!C:V""),19,FALSE),"""")"),"Migrane")</f>
        <v>Migrane</v>
      </c>
    </row>
    <row r="95">
      <c r="C95" s="56" t="s">
        <v>165</v>
      </c>
      <c r="D95" s="21" t="str">
        <f>IFERROR(__xludf.DUMMYFUNCTION("IFNA(
IF(
VLOOKUP(C95,IMPORTRANGE(""https://docs.google.com/spreadsheets/d/1rG8iy-kKSFDxhVaU60GJ2bpXc8tZqI1bT8U0Ac0DWTU/edit?usp=sharing"",""REGISTRATION!C:X""),22,FALSE)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95" s="22" t="str">
        <f>IFERROR(__xludf.DUMMYFUNCTION("IFNA(
IF(
VLOOKUP(C95,IMPORTRANGE(""https://docs.google.com/spreadsheets/d/1rG8iy-kKSFDxhVaU60GJ2bpXc8tZqI1bT8U0Ac0DWTU/edit?usp=sharing"",""REGISTRATION!C:AB""),26,FALSE)
=""No"",
""No Candy"",
""""
),
""""
)"),"")</f>
        <v/>
      </c>
      <c r="F95" s="21" t="str">
        <f>IFERROR(__xludf.DUMMYFUNCTION("IFNA(VLOOKUP(C95,IMPORTRANGE(""https://docs.google.com/spreadsheets/d/1rG8iy-kKSFDxhVaU60GJ2bpXc8tZqI1bT8U0Ac0DWTU/edit?usp=sharing"",""REGISTRATION!C:V""),18,FALSE),"""")"),"None")</f>
        <v>None</v>
      </c>
      <c r="G95" s="21" t="str">
        <f>IFERROR(__xludf.DUMMYFUNCTION("IFNA(VLOOKUP(C95,IMPORTRANGE(""https://docs.google.com/spreadsheets/d/1rG8iy-kKSFDxhVaU60GJ2bpXc8tZqI1bT8U0Ac0DWTU/edit?usp=sharing"",""REGISTRATION!C:V""),20,FALSE),"""")"),"")</f>
        <v/>
      </c>
      <c r="H95" s="21" t="str">
        <f>IFERROR(__xludf.DUMMYFUNCTION("IFNA(VLOOKUP(C95,IMPORTRANGE(""https://docs.google.com/spreadsheets/d/1rG8iy-kKSFDxhVaU60GJ2bpXc8tZqI1bT8U0Ac0DWTU/edit?usp=sharing"",""REGISTRATION!C:V""),19,FALSE),"""")"),"None")</f>
        <v>None</v>
      </c>
    </row>
    <row r="96">
      <c r="C96" s="56" t="s">
        <v>94</v>
      </c>
      <c r="D96" s="21" t="str">
        <f>IFERROR(__xludf.DUMMYFUNCTION("IFNA(
IF(
VLOOKUP(C96,IMPORTRANGE(""https://docs.google.com/spreadsheets/d/1rG8iy-kKSFDxhVaU60GJ2bpXc8tZqI1bT8U0Ac0DWTU/edit?usp=sharing"",""REGISTRATION!C:X""),22,FALSE)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96" s="22" t="str">
        <f>IFERROR(__xludf.DUMMYFUNCTION("IFNA(
IF(
VLOOKUP(C96,IMPORTRANGE(""https://docs.google.com/spreadsheets/d/1rG8iy-kKSFDxhVaU60GJ2bpXc8tZqI1bT8U0Ac0DWTU/edit?usp=sharing"",""REGISTRATION!C:AB""),26,FALSE)
=""No"",
""No Candy"",
""""
),
""""
)"),"")</f>
        <v/>
      </c>
      <c r="F96" s="21" t="str">
        <f>IFERROR(__xludf.DUMMYFUNCTION("IFNA(VLOOKUP(C96,IMPORTRANGE(""https://docs.google.com/spreadsheets/d/1rG8iy-kKSFDxhVaU60GJ2bpXc8tZqI1bT8U0Ac0DWTU/edit?usp=sharing"",""REGISTRATION!C:V""),18,FALSE),"""")"),"None")</f>
        <v>None</v>
      </c>
      <c r="G96" s="21" t="str">
        <f>IFERROR(__xludf.DUMMYFUNCTION("IFNA(VLOOKUP(C96,IMPORTRANGE(""https://docs.google.com/spreadsheets/d/1rG8iy-kKSFDxhVaU60GJ2bpXc8tZqI1bT8U0Ac0DWTU/edit?usp=sharing"",""REGISTRATION!C:V""),20,FALSE),"""")"),"")</f>
        <v/>
      </c>
      <c r="H96" s="21" t="str">
        <f>IFERROR(__xludf.DUMMYFUNCTION("IFNA(VLOOKUP(C96,IMPORTRANGE(""https://docs.google.com/spreadsheets/d/1rG8iy-kKSFDxhVaU60GJ2bpXc8tZqI1bT8U0Ac0DWTU/edit?usp=sharing"",""REGISTRATION!C:V""),19,FALSE),"""")"),"None")</f>
        <v>None</v>
      </c>
    </row>
    <row r="97">
      <c r="C97" s="20"/>
      <c r="D97" s="21" t="str">
        <f>IFERROR(__xludf.DUMMYFUNCTION("IFNA(
IF(
VLOOKUP(C97,IMPORTRANGE(""https://docs.google.com/spreadsheets/d/1rG8iy-kKSFDxhVaU60GJ2bpXc8tZqI1bT8U0Ac0DWTU/edit?usp=sharing"",""REGISTRATION!C:X""),22,FALSE)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97" s="22" t="str">
        <f>IFERROR(__xludf.DUMMYFUNCTION("IFNA(
IF(
VLOOKUP(C97,IMPORTRANGE(""https://docs.google.com/spreadsheets/d/1rG8iy-kKSFDxhVaU60GJ2bpXc8tZqI1bT8U0Ac0DWTU/edit?usp=sharing"",""REGISTRATION!C:AB""),26,FALSE)
=""No"",
""No Candy"",
""""
),
""""
)"),"")</f>
        <v/>
      </c>
      <c r="F97" s="21" t="str">
        <f>IFERROR(__xludf.DUMMYFUNCTION("IFNA(VLOOKUP(C97,IMPORTRANGE(""https://docs.google.com/spreadsheets/d/1rG8iy-kKSFDxhVaU60GJ2bpXc8tZqI1bT8U0Ac0DWTU/edit?usp=sharing"",""REGISTRATION!C:V""),18,FALSE),"""")"),"")</f>
        <v/>
      </c>
      <c r="G97" s="21" t="str">
        <f>IFERROR(__xludf.DUMMYFUNCTION("IFNA(VLOOKUP(C97,IMPORTRANGE(""https://docs.google.com/spreadsheets/d/1rG8iy-kKSFDxhVaU60GJ2bpXc8tZqI1bT8U0Ac0DWTU/edit?usp=sharing"",""REGISTRATION!C:V""),20,FALSE),"""")"),"")</f>
        <v/>
      </c>
      <c r="H97" s="21" t="str">
        <f>IFERROR(__xludf.DUMMYFUNCTION("IFNA(VLOOKUP(C97,IMPORTRANGE(""https://docs.google.com/spreadsheets/d/1rG8iy-kKSFDxhVaU60GJ2bpXc8tZqI1bT8U0Ac0DWTU/edit?usp=sharing"",""REGISTRATION!C:V""),19,FALSE),"""")"),"")</f>
        <v/>
      </c>
    </row>
    <row r="98">
      <c r="C98" s="20"/>
      <c r="D98" s="21" t="str">
        <f>IFERROR(__xludf.DUMMYFUNCTION("IFNA(
IF(
VLOOKUP(C98,IMPORTRANGE(""https://docs.google.com/spreadsheets/d/1rG8iy-kKSFDxhVaU60GJ2bpXc8tZqI1bT8U0Ac0DWTU/edit?usp=sharing"",""REGISTRATION!C:X""),22,FALSE)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98" s="22" t="str">
        <f>IFERROR(__xludf.DUMMYFUNCTION("IFNA(
IF(
VLOOKUP(C98,IMPORTRANGE(""https://docs.google.com/spreadsheets/d/1rG8iy-kKSFDxhVaU60GJ2bpXc8tZqI1bT8U0Ac0DWTU/edit?usp=sharing"",""REGISTRATION!C:AB""),26,FALSE)
=""No"",
""No Candy"",
""""
),
""""
)"),"")</f>
        <v/>
      </c>
      <c r="F98" s="21" t="str">
        <f>IFERROR(__xludf.DUMMYFUNCTION("IFNA(VLOOKUP(C98,IMPORTRANGE(""https://docs.google.com/spreadsheets/d/1rG8iy-kKSFDxhVaU60GJ2bpXc8tZqI1bT8U0Ac0DWTU/edit?usp=sharing"",""REGISTRATION!C:V""),18,FALSE),"""")"),"")</f>
        <v/>
      </c>
      <c r="G98" s="21" t="str">
        <f>IFERROR(__xludf.DUMMYFUNCTION("IFNA(VLOOKUP(C98,IMPORTRANGE(""https://docs.google.com/spreadsheets/d/1rG8iy-kKSFDxhVaU60GJ2bpXc8tZqI1bT8U0Ac0DWTU/edit?usp=sharing"",""REGISTRATION!C:V""),20,FALSE),"""")"),"")</f>
        <v/>
      </c>
      <c r="H98" s="21" t="str">
        <f>IFERROR(__xludf.DUMMYFUNCTION("IFNA(VLOOKUP(C98,IMPORTRANGE(""https://docs.google.com/spreadsheets/d/1rG8iy-kKSFDxhVaU60GJ2bpXc8tZqI1bT8U0Ac0DWTU/edit?usp=sharing"",""REGISTRATION!C:V""),19,FALSE),"""")"),"")</f>
        <v/>
      </c>
    </row>
    <row r="99">
      <c r="C99" s="20"/>
      <c r="D99" s="21" t="str">
        <f>IFERROR(__xludf.DUMMYFUNCTION("IFNA(
IF(
VLOOKUP(C99,IMPORTRANGE(""https://docs.google.com/spreadsheets/d/1rG8iy-kKSFDxhVaU60GJ2bpXc8tZqI1bT8U0Ac0DWTU/edit?usp=sharing"",""REGISTRATION!C:X""),22,FALSE)
=""I qualify for Free and Reduced Lunch and WOULD like lunch to be provided for my c"&amp;"hild."",
""Yes"",
""""
),
""""
)"),"")</f>
        <v/>
      </c>
      <c r="E99" s="22" t="str">
        <f>IFERROR(__xludf.DUMMYFUNCTION("IFNA(
IF(
VLOOKUP(C99,IMPORTRANGE(""https://docs.google.com/spreadsheets/d/1rG8iy-kKSFDxhVaU60GJ2bpXc8tZqI1bT8U0Ac0DWTU/edit?usp=sharing"",""REGISTRATION!C:AB""),26,FALSE)
=""No"",
""No Candy"",
""""
),
""""
)"),"")</f>
        <v/>
      </c>
      <c r="F99" s="21" t="str">
        <f>IFERROR(__xludf.DUMMYFUNCTION("IFNA(VLOOKUP(C99,IMPORTRANGE(""https://docs.google.com/spreadsheets/d/1rG8iy-kKSFDxhVaU60GJ2bpXc8tZqI1bT8U0Ac0DWTU/edit?usp=sharing"",""REGISTRATION!C:V""),18,FALSE),"""")"),"")</f>
        <v/>
      </c>
      <c r="G99" s="21" t="str">
        <f>IFERROR(__xludf.DUMMYFUNCTION("IFNA(VLOOKUP(C99,IMPORTRANGE(""https://docs.google.com/spreadsheets/d/1rG8iy-kKSFDxhVaU60GJ2bpXc8tZqI1bT8U0Ac0DWTU/edit?usp=sharing"",""REGISTRATION!C:V""),20,FALSE),"""")"),"")</f>
        <v/>
      </c>
      <c r="H99" s="21" t="str">
        <f>IFERROR(__xludf.DUMMYFUNCTION("IFNA(VLOOKUP(C99,IMPORTRANGE(""https://docs.google.com/spreadsheets/d/1rG8iy-kKSFDxhVaU60GJ2bpXc8tZqI1bT8U0Ac0DWTU/edit?usp=sharing"",""REGISTRATION!C:V""),19,FALSE),"""")"),"")</f>
        <v/>
      </c>
    </row>
    <row r="100">
      <c r="C100" s="20"/>
      <c r="D100" s="21" t="str">
        <f>IFERROR(__xludf.DUMMYFUNCTION("IFNA(
IF(
VLOOKUP(C100,IMPORTRANGE(""https://docs.google.com/spreadsheets/d/1rG8iy-kKSFDxhVaU60GJ2bpXc8tZqI1bT8U0Ac0DWTU/edit?usp=sharing"",""REGISTRATION!C:X""),22,FALSE)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00" s="22" t="str">
        <f>IFERROR(__xludf.DUMMYFUNCTION("IFNA(
IF(
VLOOKUP(C100,IMPORTRANGE(""https://docs.google.com/spreadsheets/d/1rG8iy-kKSFDxhVaU60GJ2bpXc8tZqI1bT8U0Ac0DWTU/edit?usp=sharing"",""REGISTRATION!C:AB""),26,FALSE)
=""No"",
""No Candy"",
""""
),
""""
)"),"")</f>
        <v/>
      </c>
      <c r="F100" s="21" t="str">
        <f>IFERROR(__xludf.DUMMYFUNCTION("IFNA(VLOOKUP(C100,IMPORTRANGE(""https://docs.google.com/spreadsheets/d/1rG8iy-kKSFDxhVaU60GJ2bpXc8tZqI1bT8U0Ac0DWTU/edit?usp=sharing"",""REGISTRATION!C:V""),18,FALSE),"""")"),"")</f>
        <v/>
      </c>
      <c r="G100" s="21" t="str">
        <f>IFERROR(__xludf.DUMMYFUNCTION("IFNA(VLOOKUP(C100,IMPORTRANGE(""https://docs.google.com/spreadsheets/d/1rG8iy-kKSFDxhVaU60GJ2bpXc8tZqI1bT8U0Ac0DWTU/edit?usp=sharing"",""REGISTRATION!C:V""),20,FALSE),"""")"),"")</f>
        <v/>
      </c>
      <c r="H100" s="21" t="str">
        <f>IFERROR(__xludf.DUMMYFUNCTION("IFNA(VLOOKUP(C100,IMPORTRANGE(""https://docs.google.com/spreadsheets/d/1rG8iy-kKSFDxhVaU60GJ2bpXc8tZqI1bT8U0Ac0DWTU/edit?usp=sharing"",""REGISTRATION!C:V""),19,FALSE),"""")"),"")</f>
        <v/>
      </c>
    </row>
    <row r="101">
      <c r="C101" s="20"/>
      <c r="D101" s="21" t="str">
        <f>IFERROR(__xludf.DUMMYFUNCTION("IFNA(
IF(
VLOOKUP(C101,IMPORTRANGE(""https://docs.google.com/spreadsheets/d/1rG8iy-kKSFDxhVaU60GJ2bpXc8tZqI1bT8U0Ac0DWTU/edit?usp=sharing"",""REGISTRATION!C:X""),22,FALSE)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01" s="22" t="str">
        <f>IFERROR(__xludf.DUMMYFUNCTION("IFNA(
IF(
VLOOKUP(C101,IMPORTRANGE(""https://docs.google.com/spreadsheets/d/1rG8iy-kKSFDxhVaU60GJ2bpXc8tZqI1bT8U0Ac0DWTU/edit?usp=sharing"",""REGISTRATION!C:AB""),26,FALSE)
=""No"",
""No Candy"",
""""
),
""""
)"),"")</f>
        <v/>
      </c>
      <c r="F101" s="21" t="str">
        <f>IFERROR(__xludf.DUMMYFUNCTION("IFNA(VLOOKUP(C101,IMPORTRANGE(""https://docs.google.com/spreadsheets/d/1rG8iy-kKSFDxhVaU60GJ2bpXc8tZqI1bT8U0Ac0DWTU/edit?usp=sharing"",""REGISTRATION!C:V""),18,FALSE),"""")"),"")</f>
        <v/>
      </c>
      <c r="G101" s="21" t="str">
        <f>IFERROR(__xludf.DUMMYFUNCTION("IFNA(VLOOKUP(C101,IMPORTRANGE(""https://docs.google.com/spreadsheets/d/1rG8iy-kKSFDxhVaU60GJ2bpXc8tZqI1bT8U0Ac0DWTU/edit?usp=sharing"",""REGISTRATION!C:V""),20,FALSE),"""")"),"")</f>
        <v/>
      </c>
      <c r="H101" s="21" t="str">
        <f>IFERROR(__xludf.DUMMYFUNCTION("IFNA(VLOOKUP(C101,IMPORTRANGE(""https://docs.google.com/spreadsheets/d/1rG8iy-kKSFDxhVaU60GJ2bpXc8tZqI1bT8U0Ac0DWTU/edit?usp=sharing"",""REGISTRATION!C:V""),19,FALSE),"""")"),"")</f>
        <v/>
      </c>
    </row>
    <row r="102">
      <c r="C102" s="55"/>
      <c r="D102" s="21" t="str">
        <f>IFERROR(__xludf.DUMMYFUNCTION("IFNA(
IF(
VLOOKUP(C102,IMPORTRANGE(""https://docs.google.com/spreadsheets/d/1rG8iy-kKSFDxhVaU60GJ2bpXc8tZqI1bT8U0Ac0DWTU/edit?usp=sharing"",""REGISTRATION!C:X""),22,FALSE)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02" s="22" t="str">
        <f>IFERROR(__xludf.DUMMYFUNCTION("IFNA(
IF(
VLOOKUP(C102,IMPORTRANGE(""https://docs.google.com/spreadsheets/d/1rG8iy-kKSFDxhVaU60GJ2bpXc8tZqI1bT8U0Ac0DWTU/edit?usp=sharing"",""REGISTRATION!C:AB""),26,FALSE)
=""No"",
""No Candy"",
""""
),
""""
)"),"")</f>
        <v/>
      </c>
      <c r="F102" s="21" t="str">
        <f>IFERROR(__xludf.DUMMYFUNCTION("IFNA(VLOOKUP(C102,IMPORTRANGE(""https://docs.google.com/spreadsheets/d/1rG8iy-kKSFDxhVaU60GJ2bpXc8tZqI1bT8U0Ac0DWTU/edit?usp=sharing"",""REGISTRATION!C:V""),18,FALSE),"""")"),"")</f>
        <v/>
      </c>
      <c r="G102" s="21" t="str">
        <f>IFERROR(__xludf.DUMMYFUNCTION("IFNA(VLOOKUP(C102,IMPORTRANGE(""https://docs.google.com/spreadsheets/d/1rG8iy-kKSFDxhVaU60GJ2bpXc8tZqI1bT8U0Ac0DWTU/edit?usp=sharing"",""REGISTRATION!C:V""),20,FALSE),"""")"),"")</f>
        <v/>
      </c>
      <c r="H102" s="21" t="str">
        <f>IFERROR(__xludf.DUMMYFUNCTION("IFNA(VLOOKUP(C102,IMPORTRANGE(""https://docs.google.com/spreadsheets/d/1rG8iy-kKSFDxhVaU60GJ2bpXc8tZqI1bT8U0Ac0DWTU/edit?usp=sharing"",""REGISTRATION!C:V""),19,FALSE),"""")"),"")</f>
        <v/>
      </c>
    </row>
    <row r="103">
      <c r="C103" s="20"/>
      <c r="D103" s="21" t="str">
        <f>IFERROR(__xludf.DUMMYFUNCTION("IFNA(
IF(
VLOOKUP(C103,IMPORTRANGE(""https://docs.google.com/spreadsheets/d/1rG8iy-kKSFDxhVaU60GJ2bpXc8tZqI1bT8U0Ac0DWTU/edit?usp=sharing"",""REGISTRATION!C:X""),22,FALSE)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03" s="22" t="str">
        <f>IFERROR(__xludf.DUMMYFUNCTION("IFNA(
IF(
VLOOKUP(C103,IMPORTRANGE(""https://docs.google.com/spreadsheets/d/1rG8iy-kKSFDxhVaU60GJ2bpXc8tZqI1bT8U0Ac0DWTU/edit?usp=sharing"",""REGISTRATION!C:AB""),26,FALSE)
=""No"",
""No Candy"",
""""
),
""""
)"),"")</f>
        <v/>
      </c>
      <c r="F103" s="21" t="str">
        <f>IFERROR(__xludf.DUMMYFUNCTION("IFNA(VLOOKUP(C103,IMPORTRANGE(""https://docs.google.com/spreadsheets/d/1rG8iy-kKSFDxhVaU60GJ2bpXc8tZqI1bT8U0Ac0DWTU/edit?usp=sharing"",""REGISTRATION!C:V""),18,FALSE),"""")"),"")</f>
        <v/>
      </c>
      <c r="G103" s="21" t="str">
        <f>IFERROR(__xludf.DUMMYFUNCTION("IFNA(VLOOKUP(C103,IMPORTRANGE(""https://docs.google.com/spreadsheets/d/1rG8iy-kKSFDxhVaU60GJ2bpXc8tZqI1bT8U0Ac0DWTU/edit?usp=sharing"",""REGISTRATION!C:V""),20,FALSE),"""")"),"")</f>
        <v/>
      </c>
      <c r="H103" s="21" t="str">
        <f>IFERROR(__xludf.DUMMYFUNCTION("IFNA(VLOOKUP(C103,IMPORTRANGE(""https://docs.google.com/spreadsheets/d/1rG8iy-kKSFDxhVaU60GJ2bpXc8tZqI1bT8U0Ac0DWTU/edit?usp=sharing"",""REGISTRATION!C:V""),19,FALSE),"""")"),"")</f>
        <v/>
      </c>
    </row>
    <row r="104">
      <c r="A104" s="30" t="s">
        <v>242</v>
      </c>
      <c r="B104" s="30" t="s">
        <v>243</v>
      </c>
      <c r="C104" s="31" t="s">
        <v>95</v>
      </c>
      <c r="D104" s="32" t="str">
        <f>IFERROR(__xludf.DUMMYFUNCTION("IFNA(
IF(
VLOOKUP(C104,IMPORTRANGE(""https://docs.google.com/spreadsheets/d/1rG8iy-kKSFDxhVaU60GJ2bpXc8tZqI1bT8U0Ac0DWTU/edit?usp=sharing"",""REGISTRATION!C:X""),22,FALSE)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04" s="33" t="str">
        <f>IFERROR(__xludf.DUMMYFUNCTION("IFNA(
IF(
VLOOKUP(C104,IMPORTRANGE(""https://docs.google.com/spreadsheets/d/1rG8iy-kKSFDxhVaU60GJ2bpXc8tZqI1bT8U0Ac0DWTU/edit?usp=sharing"",""REGISTRATION!C:AB""),26,FALSE)
=""No"",
""No Candy"",
""""
),
""""
)"),"")</f>
        <v/>
      </c>
      <c r="F104" s="32" t="str">
        <f>IFERROR(__xludf.DUMMYFUNCTION("IFNA(VLOOKUP(C104,IMPORTRANGE(""https://docs.google.com/spreadsheets/d/1rG8iy-kKSFDxhVaU60GJ2bpXc8tZqI1bT8U0Ac0DWTU/edit?usp=sharing"",""REGISTRATION!C:V""),18,FALSE),"""")"),"None")</f>
        <v>None</v>
      </c>
      <c r="G104" s="32" t="str">
        <f>IFERROR(__xludf.DUMMYFUNCTION("IFNA(VLOOKUP(C104,IMPORTRANGE(""https://docs.google.com/spreadsheets/d/1rG8iy-kKSFDxhVaU60GJ2bpXc8tZqI1bT8U0Ac0DWTU/edit?usp=sharing"",""REGISTRATION!C:V""),20,FALSE),"""")"),"")</f>
        <v/>
      </c>
      <c r="H104" s="32" t="str">
        <f>IFERROR(__xludf.DUMMYFUNCTION("IFNA(VLOOKUP(C104,IMPORTRANGE(""https://docs.google.com/spreadsheets/d/1rG8iy-kKSFDxhVaU60GJ2bpXc8tZqI1bT8U0Ac0DWTU/edit?usp=sharing"",""REGISTRATION!C:V""),19,FALSE),"""")"),"None")</f>
        <v>None</v>
      </c>
    </row>
    <row r="105">
      <c r="C105" s="31" t="s">
        <v>178</v>
      </c>
      <c r="D105" s="32" t="str">
        <f>IFERROR(__xludf.DUMMYFUNCTION("IFNA(
IF(
VLOOKUP(C105,IMPORTRANGE(""https://docs.google.com/spreadsheets/d/1rG8iy-kKSFDxhVaU60GJ2bpXc8tZqI1bT8U0Ac0DWTU/edit?usp=sharing"",""REGISTRATION!C:X""),22,FALSE)
=""I qualify for Free and Reduced Lunch and WOULD like lunch to be provided for my "&amp;"child."",
""Yes"",
""""
),
""""
)"),"Yes")</f>
        <v>Yes</v>
      </c>
      <c r="E105" s="33" t="str">
        <f>IFERROR(__xludf.DUMMYFUNCTION("IFNA(
IF(
VLOOKUP(C105,IMPORTRANGE(""https://docs.google.com/spreadsheets/d/1rG8iy-kKSFDxhVaU60GJ2bpXc8tZqI1bT8U0Ac0DWTU/edit?usp=sharing"",""REGISTRATION!C:AB""),26,FALSE)
=""No"",
""No Candy"",
""""
),
""""
)"),"")</f>
        <v/>
      </c>
      <c r="F105" s="32" t="str">
        <f>IFERROR(__xludf.DUMMYFUNCTION("IFNA(VLOOKUP(C105,IMPORTRANGE(""https://docs.google.com/spreadsheets/d/1rG8iy-kKSFDxhVaU60GJ2bpXc8tZqI1bT8U0Ac0DWTU/edit?usp=sharing"",""REGISTRATION!C:V""),18,FALSE),"""")"),"None")</f>
        <v>None</v>
      </c>
      <c r="G105" s="32" t="str">
        <f>IFERROR(__xludf.DUMMYFUNCTION("IFNA(VLOOKUP(C105,IMPORTRANGE(""https://docs.google.com/spreadsheets/d/1rG8iy-kKSFDxhVaU60GJ2bpXc8tZqI1bT8U0Ac0DWTU/edit?usp=sharing"",""REGISTRATION!C:V""),20,FALSE),"""")"),"")</f>
        <v/>
      </c>
      <c r="H105" s="32" t="str">
        <f>IFERROR(__xludf.DUMMYFUNCTION("IFNA(VLOOKUP(C105,IMPORTRANGE(""https://docs.google.com/spreadsheets/d/1rG8iy-kKSFDxhVaU60GJ2bpXc8tZqI1bT8U0Ac0DWTU/edit?usp=sharing"",""REGISTRATION!C:V""),19,FALSE),"""")"),"None")</f>
        <v>None</v>
      </c>
    </row>
    <row r="106">
      <c r="C106" s="31" t="s">
        <v>96</v>
      </c>
      <c r="D106" s="32" t="str">
        <f>IFERROR(__xludf.DUMMYFUNCTION("IFNA(
IF(
VLOOKUP(C106,IMPORTRANGE(""https://docs.google.com/spreadsheets/d/1rG8iy-kKSFDxhVaU60GJ2bpXc8tZqI1bT8U0Ac0DWTU/edit?usp=sharing"",""REGISTRATION!C:X""),22,FALSE)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06" s="33" t="str">
        <f>IFERROR(__xludf.DUMMYFUNCTION("IFNA(
IF(
VLOOKUP(C106,IMPORTRANGE(""https://docs.google.com/spreadsheets/d/1rG8iy-kKSFDxhVaU60GJ2bpXc8tZqI1bT8U0Ac0DWTU/edit?usp=sharing"",""REGISTRATION!C:AB""),26,FALSE)
=""No"",
""No Candy"",
""""
),
""""
)"),"")</f>
        <v/>
      </c>
      <c r="F106" s="32" t="str">
        <f>IFERROR(__xludf.DUMMYFUNCTION("IFNA(VLOOKUP(C106,IMPORTRANGE(""https://docs.google.com/spreadsheets/d/1rG8iy-kKSFDxhVaU60GJ2bpXc8tZqI1bT8U0Ac0DWTU/edit?usp=sharing"",""REGISTRATION!C:V""),18,FALSE),"""")"),"None")</f>
        <v>None</v>
      </c>
      <c r="G106" s="32" t="str">
        <f>IFERROR(__xludf.DUMMYFUNCTION("IFNA(VLOOKUP(C106,IMPORTRANGE(""https://docs.google.com/spreadsheets/d/1rG8iy-kKSFDxhVaU60GJ2bpXc8tZqI1bT8U0Ac0DWTU/edit?usp=sharing"",""REGISTRATION!C:V""),20,FALSE),"""")"),"")</f>
        <v/>
      </c>
      <c r="H106" s="32" t="str">
        <f>IFERROR(__xludf.DUMMYFUNCTION("IFNA(VLOOKUP(C106,IMPORTRANGE(""https://docs.google.com/spreadsheets/d/1rG8iy-kKSFDxhVaU60GJ2bpXc8tZqI1bT8U0Ac0DWTU/edit?usp=sharing"",""REGISTRATION!C:V""),19,FALSE),"""")"),"None")</f>
        <v>None</v>
      </c>
    </row>
    <row r="107">
      <c r="C107" s="31" t="s">
        <v>99</v>
      </c>
      <c r="D107" s="32" t="str">
        <f>IFERROR(__xludf.DUMMYFUNCTION("IFNA(
IF(
VLOOKUP(C107,IMPORTRANGE(""https://docs.google.com/spreadsheets/d/1rG8iy-kKSFDxhVaU60GJ2bpXc8tZqI1bT8U0Ac0DWTU/edit?usp=sharing"",""REGISTRATION!C:X""),22,FALSE)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07" s="33" t="str">
        <f>IFERROR(__xludf.DUMMYFUNCTION("IFNA(
IF(
VLOOKUP(C107,IMPORTRANGE(""https://docs.google.com/spreadsheets/d/1rG8iy-kKSFDxhVaU60GJ2bpXc8tZqI1bT8U0Ac0DWTU/edit?usp=sharing"",""REGISTRATION!C:AB""),26,FALSE)
=""No"",
""No Candy"",
""""
),
""""
)"),"")</f>
        <v/>
      </c>
      <c r="F107" s="32" t="str">
        <f>IFERROR(__xludf.DUMMYFUNCTION("IFNA(VLOOKUP(C107,IMPORTRANGE(""https://docs.google.com/spreadsheets/d/1rG8iy-kKSFDxhVaU60GJ2bpXc8tZqI1bT8U0Ac0DWTU/edit?usp=sharing"",""REGISTRATION!C:V""),18,FALSE),"""")"),"None")</f>
        <v>None</v>
      </c>
      <c r="G107" s="32" t="str">
        <f>IFERROR(__xludf.DUMMYFUNCTION("IFNA(VLOOKUP(C107,IMPORTRANGE(""https://docs.google.com/spreadsheets/d/1rG8iy-kKSFDxhVaU60GJ2bpXc8tZqI1bT8U0Ac0DWTU/edit?usp=sharing"",""REGISTRATION!C:V""),20,FALSE),"""")"),"")</f>
        <v/>
      </c>
      <c r="H107" s="32" t="str">
        <f>IFERROR(__xludf.DUMMYFUNCTION("IFNA(VLOOKUP(C107,IMPORTRANGE(""https://docs.google.com/spreadsheets/d/1rG8iy-kKSFDxhVaU60GJ2bpXc8tZqI1bT8U0Ac0DWTU/edit?usp=sharing"",""REGISTRATION!C:V""),19,FALSE),"""")"),"None")</f>
        <v>None</v>
      </c>
    </row>
    <row r="108">
      <c r="C108" s="31" t="s">
        <v>104</v>
      </c>
      <c r="D108" s="32" t="str">
        <f>IFERROR(__xludf.DUMMYFUNCTION("IFNA(
IF(
VLOOKUP(C108,IMPORTRANGE(""https://docs.google.com/spreadsheets/d/1rG8iy-kKSFDxhVaU60GJ2bpXc8tZqI1bT8U0Ac0DWTU/edit?usp=sharing"",""REGISTRATION!C:X""),22,FALSE)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08" s="33" t="str">
        <f>IFERROR(__xludf.DUMMYFUNCTION("IFNA(
IF(
VLOOKUP(C108,IMPORTRANGE(""https://docs.google.com/spreadsheets/d/1rG8iy-kKSFDxhVaU60GJ2bpXc8tZqI1bT8U0Ac0DWTU/edit?usp=sharing"",""REGISTRATION!C:AB""),26,FALSE)
=""No"",
""No Candy"",
""""
),
""""
)"),"")</f>
        <v/>
      </c>
      <c r="F108" s="32" t="str">
        <f>IFERROR(__xludf.DUMMYFUNCTION("IFNA(VLOOKUP(C108,IMPORTRANGE(""https://docs.google.com/spreadsheets/d/1rG8iy-kKSFDxhVaU60GJ2bpXc8tZqI1bT8U0Ac0DWTU/edit?usp=sharing"",""REGISTRATION!C:V""),18,FALSE),"""")"),"None")</f>
        <v>None</v>
      </c>
      <c r="G108" s="32" t="str">
        <f>IFERROR(__xludf.DUMMYFUNCTION("IFNA(VLOOKUP(C108,IMPORTRANGE(""https://docs.google.com/spreadsheets/d/1rG8iy-kKSFDxhVaU60GJ2bpXc8tZqI1bT8U0Ac0DWTU/edit?usp=sharing"",""REGISTRATION!C:V""),20,FALSE),"""")"),"")</f>
        <v/>
      </c>
      <c r="H108" s="32" t="str">
        <f>IFERROR(__xludf.DUMMYFUNCTION("IFNA(VLOOKUP(C108,IMPORTRANGE(""https://docs.google.com/spreadsheets/d/1rG8iy-kKSFDxhVaU60GJ2bpXc8tZqI1bT8U0Ac0DWTU/edit?usp=sharing"",""REGISTRATION!C:V""),19,FALSE),"""")"),"None")</f>
        <v>None</v>
      </c>
    </row>
    <row r="109">
      <c r="C109" s="31" t="s">
        <v>107</v>
      </c>
      <c r="D109" s="32" t="str">
        <f>IFERROR(__xludf.DUMMYFUNCTION("IFNA(
IF(
VLOOKUP(C109,IMPORTRANGE(""https://docs.google.com/spreadsheets/d/1rG8iy-kKSFDxhVaU60GJ2bpXc8tZqI1bT8U0Ac0DWTU/edit?usp=sharing"",""REGISTRATION!C:X""),22,FALSE)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09" s="33" t="str">
        <f>IFERROR(__xludf.DUMMYFUNCTION("IFNA(
IF(
VLOOKUP(C109,IMPORTRANGE(""https://docs.google.com/spreadsheets/d/1rG8iy-kKSFDxhVaU60GJ2bpXc8tZqI1bT8U0Ac0DWTU/edit?usp=sharing"",""REGISTRATION!C:AB""),26,FALSE)
=""No"",
""No Candy"",
""""
),
""""
)"),"")</f>
        <v/>
      </c>
      <c r="F109" s="32" t="str">
        <f>IFERROR(__xludf.DUMMYFUNCTION("IFNA(VLOOKUP(C109,IMPORTRANGE(""https://docs.google.com/spreadsheets/d/1rG8iy-kKSFDxhVaU60GJ2bpXc8tZqI1bT8U0Ac0DWTU/edit?usp=sharing"",""REGISTRATION!C:V""),18,FALSE),"""")"),"None")</f>
        <v>None</v>
      </c>
      <c r="G109" s="32" t="str">
        <f>IFERROR(__xludf.DUMMYFUNCTION("IFNA(VLOOKUP(C109,IMPORTRANGE(""https://docs.google.com/spreadsheets/d/1rG8iy-kKSFDxhVaU60GJ2bpXc8tZqI1bT8U0Ac0DWTU/edit?usp=sharing"",""REGISTRATION!C:V""),20,FALSE),"""")"),"")</f>
        <v/>
      </c>
      <c r="H109" s="32" t="str">
        <f>IFERROR(__xludf.DUMMYFUNCTION("IFNA(VLOOKUP(C109,IMPORTRANGE(""https://docs.google.com/spreadsheets/d/1rG8iy-kKSFDxhVaU60GJ2bpXc8tZqI1bT8U0Ac0DWTU/edit?usp=sharing"",""REGISTRATION!C:V""),19,FALSE),"""")"),"None")</f>
        <v>None</v>
      </c>
    </row>
    <row r="110">
      <c r="C110" s="31" t="s">
        <v>108</v>
      </c>
      <c r="D110" s="32" t="str">
        <f>IFERROR(__xludf.DUMMYFUNCTION("IFNA(
IF(
VLOOKUP(C110,IMPORTRANGE(""https://docs.google.com/spreadsheets/d/1rG8iy-kKSFDxhVaU60GJ2bpXc8tZqI1bT8U0Ac0DWTU/edit?usp=sharing"",""REGISTRATION!C:X""),22,FALSE)
=""I qualify for Free and Reduced Lunch and WOULD like lunch to be provided for my "&amp;"child."",
""Yes"",
""""
),
""""
)"),"Yes")</f>
        <v>Yes</v>
      </c>
      <c r="E110" s="33" t="str">
        <f>IFERROR(__xludf.DUMMYFUNCTION("IFNA(
IF(
VLOOKUP(C110,IMPORTRANGE(""https://docs.google.com/spreadsheets/d/1rG8iy-kKSFDxhVaU60GJ2bpXc8tZqI1bT8U0Ac0DWTU/edit?usp=sharing"",""REGISTRATION!C:AB""),26,FALSE)
=""No"",
""No Candy"",
""""
),
""""
)"),"")</f>
        <v/>
      </c>
      <c r="F110" s="32" t="str">
        <f>IFERROR(__xludf.DUMMYFUNCTION("IFNA(VLOOKUP(C110,IMPORTRANGE(""https://docs.google.com/spreadsheets/d/1rG8iy-kKSFDxhVaU60GJ2bpXc8tZqI1bT8U0Ac0DWTU/edit?usp=sharing"",""REGISTRATION!C:V""),18,FALSE),"""")"),"None")</f>
        <v>None</v>
      </c>
      <c r="G110" s="32" t="str">
        <f>IFERROR(__xludf.DUMMYFUNCTION("IFNA(VLOOKUP(C110,IMPORTRANGE(""https://docs.google.com/spreadsheets/d/1rG8iy-kKSFDxhVaU60GJ2bpXc8tZqI1bT8U0Ac0DWTU/edit?usp=sharing"",""REGISTRATION!C:V""),20,FALSE),"""")"),"")</f>
        <v/>
      </c>
      <c r="H110" s="32" t="str">
        <f>IFERROR(__xludf.DUMMYFUNCTION("IFNA(VLOOKUP(C110,IMPORTRANGE(""https://docs.google.com/spreadsheets/d/1rG8iy-kKSFDxhVaU60GJ2bpXc8tZqI1bT8U0Ac0DWTU/edit?usp=sharing"",""REGISTRATION!C:V""),19,FALSE),"""")"),"None")</f>
        <v>None</v>
      </c>
    </row>
    <row r="111">
      <c r="C111" s="31" t="s">
        <v>208</v>
      </c>
      <c r="D111" s="32" t="str">
        <f>IFERROR(__xludf.DUMMYFUNCTION("IFNA(
IF(
VLOOKUP(C111,IMPORTRANGE(""https://docs.google.com/spreadsheets/d/1rG8iy-kKSFDxhVaU60GJ2bpXc8tZqI1bT8U0Ac0DWTU/edit?usp=sharing"",""REGISTRATION!C:X""),22,FALSE)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11" s="33" t="str">
        <f>IFERROR(__xludf.DUMMYFUNCTION("IFNA(
IF(
VLOOKUP(C111,IMPORTRANGE(""https://docs.google.com/spreadsheets/d/1rG8iy-kKSFDxhVaU60GJ2bpXc8tZqI1bT8U0Ac0DWTU/edit?usp=sharing"",""REGISTRATION!C:AB""),26,FALSE)
=""No"",
""No Candy"",
""""
),
""""
)"),"")</f>
        <v/>
      </c>
      <c r="F111" s="32" t="str">
        <f>IFERROR(__xludf.DUMMYFUNCTION("IFNA(VLOOKUP(C111,IMPORTRANGE(""https://docs.google.com/spreadsheets/d/1rG8iy-kKSFDxhVaU60GJ2bpXc8tZqI1bT8U0Ac0DWTU/edit?usp=sharing"",""REGISTRATION!C:V""),18,FALSE),"""")"),"None")</f>
        <v>None</v>
      </c>
      <c r="G111" s="32" t="str">
        <f>IFERROR(__xludf.DUMMYFUNCTION("IFNA(VLOOKUP(C111,IMPORTRANGE(""https://docs.google.com/spreadsheets/d/1rG8iy-kKSFDxhVaU60GJ2bpXc8tZqI1bT8U0Ac0DWTU/edit?usp=sharing"",""REGISTRATION!C:V""),20,FALSE),"""")"),"")</f>
        <v/>
      </c>
      <c r="H111" s="32" t="str">
        <f>IFERROR(__xludf.DUMMYFUNCTION("IFNA(VLOOKUP(C111,IMPORTRANGE(""https://docs.google.com/spreadsheets/d/1rG8iy-kKSFDxhVaU60GJ2bpXc8tZqI1bT8U0Ac0DWTU/edit?usp=sharing"",""REGISTRATION!C:V""),19,FALSE),"""")"),"None")</f>
        <v>None</v>
      </c>
    </row>
    <row r="112">
      <c r="C112" s="31" t="s">
        <v>111</v>
      </c>
      <c r="D112" s="32" t="str">
        <f>IFERROR(__xludf.DUMMYFUNCTION("IFNA(
IF(
VLOOKUP(C112,IMPORTRANGE(""https://docs.google.com/spreadsheets/d/1rG8iy-kKSFDxhVaU60GJ2bpXc8tZqI1bT8U0Ac0DWTU/edit?usp=sharing"",""REGISTRATION!C:X""),22,FALSE)
=""I qualify for Free and Reduced Lunch and WOULD like lunch to be provided for my "&amp;"child."",
""Yes"",
""""
),
""""
)"),"Yes")</f>
        <v>Yes</v>
      </c>
      <c r="E112" s="33" t="str">
        <f>IFERROR(__xludf.DUMMYFUNCTION("IFNA(
IF(
VLOOKUP(C112,IMPORTRANGE(""https://docs.google.com/spreadsheets/d/1rG8iy-kKSFDxhVaU60GJ2bpXc8tZqI1bT8U0Ac0DWTU/edit?usp=sharing"",""REGISTRATION!C:AB""),26,FALSE)
=""No"",
""No Candy"",
""""
),
""""
)"),"")</f>
        <v/>
      </c>
      <c r="F112" s="32" t="str">
        <f>IFERROR(__xludf.DUMMYFUNCTION("IFNA(VLOOKUP(C112,IMPORTRANGE(""https://docs.google.com/spreadsheets/d/1rG8iy-kKSFDxhVaU60GJ2bpXc8tZqI1bT8U0Ac0DWTU/edit?usp=sharing"",""REGISTRATION!C:V""),18,FALSE),"""")"),"None")</f>
        <v>None</v>
      </c>
      <c r="G112" s="32" t="str">
        <f>IFERROR(__xludf.DUMMYFUNCTION("IFNA(VLOOKUP(C112,IMPORTRANGE(""https://docs.google.com/spreadsheets/d/1rG8iy-kKSFDxhVaU60GJ2bpXc8tZqI1bT8U0Ac0DWTU/edit?usp=sharing"",""REGISTRATION!C:V""),20,FALSE),"""")"),"")</f>
        <v/>
      </c>
      <c r="H112" s="32" t="str">
        <f>IFERROR(__xludf.DUMMYFUNCTION("IFNA(VLOOKUP(C112,IMPORTRANGE(""https://docs.google.com/spreadsheets/d/1rG8iy-kKSFDxhVaU60GJ2bpXc8tZqI1bT8U0Ac0DWTU/edit?usp=sharing"",""REGISTRATION!C:V""),19,FALSE),"""")"),"None")</f>
        <v>None</v>
      </c>
    </row>
    <row r="113">
      <c r="C113" s="31" t="s">
        <v>244</v>
      </c>
      <c r="D113" s="32" t="str">
        <f>IFERROR(__xludf.DUMMYFUNCTION("IFNA(
IF(
VLOOKUP(C113,IMPORTRANGE(""https://docs.google.com/spreadsheets/d/1rG8iy-kKSFDxhVaU60GJ2bpXc8tZqI1bT8U0Ac0DWTU/edit?usp=sharing"",""REGISTRATION!C:X""),22,FALSE)
=""I qualify for Free and Reduced Lunch and WOULD like lunch to be provided for my "&amp;"child."",
""Yes"",
""""
),
""""
)"),"Yes")</f>
        <v>Yes</v>
      </c>
      <c r="E113" s="33" t="str">
        <f>IFERROR(__xludf.DUMMYFUNCTION("IFNA(
IF(
VLOOKUP(C113,IMPORTRANGE(""https://docs.google.com/spreadsheets/d/1rG8iy-kKSFDxhVaU60GJ2bpXc8tZqI1bT8U0Ac0DWTU/edit?usp=sharing"",""REGISTRATION!C:AB""),26,FALSE)
=""No"",
""No Candy"",
""""
),
""""
)"),"")</f>
        <v/>
      </c>
      <c r="F113" s="32" t="str">
        <f>IFERROR(__xludf.DUMMYFUNCTION("IFNA(VLOOKUP(C113,IMPORTRANGE(""https://docs.google.com/spreadsheets/d/1rG8iy-kKSFDxhVaU60GJ2bpXc8tZqI1bT8U0Ac0DWTU/edit?usp=sharing"",""REGISTRATION!C:V""),18,FALSE),"""")"),"None")</f>
        <v>None</v>
      </c>
      <c r="G113" s="32" t="str">
        <f>IFERROR(__xludf.DUMMYFUNCTION("IFNA(VLOOKUP(C113,IMPORTRANGE(""https://docs.google.com/spreadsheets/d/1rG8iy-kKSFDxhVaU60GJ2bpXc8tZqI1bT8U0Ac0DWTU/edit?usp=sharing"",""REGISTRATION!C:V""),20,FALSE),"""")"),"N/A")</f>
        <v>N/A</v>
      </c>
      <c r="H113" s="32" t="str">
        <f>IFERROR(__xludf.DUMMYFUNCTION("IFNA(VLOOKUP(C113,IMPORTRANGE(""https://docs.google.com/spreadsheets/d/1rG8iy-kKSFDxhVaU60GJ2bpXc8tZqI1bT8U0Ac0DWTU/edit?usp=sharing"",""REGISTRATION!C:V""),19,FALSE),"""")"),"None")</f>
        <v>None</v>
      </c>
    </row>
    <row r="114">
      <c r="C114" s="31" t="s">
        <v>159</v>
      </c>
      <c r="D114" s="32" t="str">
        <f>IFERROR(__xludf.DUMMYFUNCTION("IFNA(
IF(
VLOOKUP(C114,IMPORTRANGE(""https://docs.google.com/spreadsheets/d/1rG8iy-kKSFDxhVaU60GJ2bpXc8tZqI1bT8U0Ac0DWTU/edit?usp=sharing"",""REGISTRATION!C:X""),22,FALSE)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14" s="33" t="str">
        <f>IFERROR(__xludf.DUMMYFUNCTION("IFNA(
IF(
VLOOKUP(C114,IMPORTRANGE(""https://docs.google.com/spreadsheets/d/1rG8iy-kKSFDxhVaU60GJ2bpXc8tZqI1bT8U0Ac0DWTU/edit?usp=sharing"",""REGISTRATION!C:AB""),26,FALSE)
=""No"",
""No Candy"",
""""
),
""""
)"),"")</f>
        <v/>
      </c>
      <c r="F114" s="32" t="str">
        <f>IFERROR(__xludf.DUMMYFUNCTION("IFNA(VLOOKUP(C114,IMPORTRANGE(""https://docs.google.com/spreadsheets/d/1rG8iy-kKSFDxhVaU60GJ2bpXc8tZqI1bT8U0Ac0DWTU/edit?usp=sharing"",""REGISTRATION!C:V""),18,FALSE),"""")"),"Halal")</f>
        <v>Halal</v>
      </c>
      <c r="G114" s="32" t="str">
        <f>IFERROR(__xludf.DUMMYFUNCTION("IFNA(VLOOKUP(C114,IMPORTRANGE(""https://docs.google.com/spreadsheets/d/1rG8iy-kKSFDxhVaU60GJ2bpXc8tZqI1bT8U0Ac0DWTU/edit?usp=sharing"",""REGISTRATION!C:V""),20,FALSE),"""")"),"")</f>
        <v/>
      </c>
      <c r="H114" s="32" t="str">
        <f>IFERROR(__xludf.DUMMYFUNCTION("IFNA(VLOOKUP(C114,IMPORTRANGE(""https://docs.google.com/spreadsheets/d/1rG8iy-kKSFDxhVaU60GJ2bpXc8tZqI1bT8U0Ac0DWTU/edit?usp=sharing"",""REGISTRATION!C:V""),19,FALSE),"""")"),"Asthma")</f>
        <v>Asthma</v>
      </c>
    </row>
    <row r="115">
      <c r="C115" s="31" t="s">
        <v>245</v>
      </c>
      <c r="D115" s="32" t="str">
        <f>IFERROR(__xludf.DUMMYFUNCTION("IFNA(
IF(
VLOOKUP(C115,IMPORTRANGE(""https://docs.google.com/spreadsheets/d/1rG8iy-kKSFDxhVaU60GJ2bpXc8tZqI1bT8U0Ac0DWTU/edit?usp=sharing"",""REGISTRATION!C:X""),22,FALSE)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15" s="33" t="str">
        <f>IFERROR(__xludf.DUMMYFUNCTION("IFNA(
IF(
VLOOKUP(C115,IMPORTRANGE(""https://docs.google.com/spreadsheets/d/1rG8iy-kKSFDxhVaU60GJ2bpXc8tZqI1bT8U0Ac0DWTU/edit?usp=sharing"",""REGISTRATION!C:AB""),26,FALSE)
=""No"",
""No Candy"",
""""
),
""""
)"),"")</f>
        <v/>
      </c>
      <c r="F115" s="32" t="str">
        <f>IFERROR(__xludf.DUMMYFUNCTION("IFNA(VLOOKUP(C115,IMPORTRANGE(""https://docs.google.com/spreadsheets/d/1rG8iy-kKSFDxhVaU60GJ2bpXc8tZqI1bT8U0Ac0DWTU/edit?usp=sharing"",""REGISTRATION!C:V""),18,FALSE),"""")"),"Peanut allergy")</f>
        <v>Peanut allergy</v>
      </c>
      <c r="G115" s="32" t="str">
        <f>IFERROR(__xludf.DUMMYFUNCTION("IFNA(VLOOKUP(C115,IMPORTRANGE(""https://docs.google.com/spreadsheets/d/1rG8iy-kKSFDxhVaU60GJ2bpXc8tZqI1bT8U0Ac0DWTU/edit?usp=sharing"",""REGISTRATION!C:V""),20,FALSE),"""")"),"")</f>
        <v/>
      </c>
      <c r="H115" s="32" t="str">
        <f>IFERROR(__xludf.DUMMYFUNCTION("IFNA(VLOOKUP(C115,IMPORTRANGE(""https://docs.google.com/spreadsheets/d/1rG8iy-kKSFDxhVaU60GJ2bpXc8tZqI1bT8U0Ac0DWTU/edit?usp=sharing"",""REGISTRATION!C:V""),19,FALSE),"""")"),"None")</f>
        <v>None</v>
      </c>
    </row>
    <row r="116">
      <c r="C116" s="31" t="s">
        <v>114</v>
      </c>
      <c r="D116" s="32" t="str">
        <f>IFERROR(__xludf.DUMMYFUNCTION("IFNA(
IF(
VLOOKUP(C116,IMPORTRANGE(""https://docs.google.com/spreadsheets/d/1rG8iy-kKSFDxhVaU60GJ2bpXc8tZqI1bT8U0Ac0DWTU/edit?usp=sharing"",""REGISTRATION!C:X""),22,FALSE)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16" s="33" t="str">
        <f>IFERROR(__xludf.DUMMYFUNCTION("IFNA(
IF(
VLOOKUP(C116,IMPORTRANGE(""https://docs.google.com/spreadsheets/d/1rG8iy-kKSFDxhVaU60GJ2bpXc8tZqI1bT8U0Ac0DWTU/edit?usp=sharing"",""REGISTRATION!C:AB""),26,FALSE)
=""No"",
""No Candy"",
""""
),
""""
)"),"")</f>
        <v/>
      </c>
      <c r="F116" s="32" t="str">
        <f>IFERROR(__xludf.DUMMYFUNCTION("IFNA(VLOOKUP(C116,IMPORTRANGE(""https://docs.google.com/spreadsheets/d/1rG8iy-kKSFDxhVaU60GJ2bpXc8tZqI1bT8U0Ac0DWTU/edit?usp=sharing"",""REGISTRATION!C:V""),18,FALSE),"""")"),"None")</f>
        <v>None</v>
      </c>
      <c r="G116" s="32" t="str">
        <f>IFERROR(__xludf.DUMMYFUNCTION("IFNA(VLOOKUP(C116,IMPORTRANGE(""https://docs.google.com/spreadsheets/d/1rG8iy-kKSFDxhVaU60GJ2bpXc8tZqI1bT8U0Ac0DWTU/edit?usp=sharing"",""REGISTRATION!C:V""),20,FALSE),"""")"),"")</f>
        <v/>
      </c>
      <c r="H116" s="32" t="str">
        <f>IFERROR(__xludf.DUMMYFUNCTION("IFNA(VLOOKUP(C116,IMPORTRANGE(""https://docs.google.com/spreadsheets/d/1rG8iy-kKSFDxhVaU60GJ2bpXc8tZqI1bT8U0Ac0DWTU/edit?usp=sharing"",""REGISTRATION!C:V""),19,FALSE),"""")"),"None")</f>
        <v>None</v>
      </c>
    </row>
    <row r="117">
      <c r="C117" s="31"/>
      <c r="D117" s="32" t="str">
        <f>IFERROR(__xludf.DUMMYFUNCTION("IFNA(
IF(
VLOOKUP(C117,IMPORTRANGE(""https://docs.google.com/spreadsheets/d/1rG8iy-kKSFDxhVaU60GJ2bpXc8tZqI1bT8U0Ac0DWTU/edit?usp=sharing"",""REGISTRATION!C:X""),22,FALSE)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17" s="33" t="str">
        <f>IFERROR(__xludf.DUMMYFUNCTION("IFNA(
IF(
VLOOKUP(C117,IMPORTRANGE(""https://docs.google.com/spreadsheets/d/1rG8iy-kKSFDxhVaU60GJ2bpXc8tZqI1bT8U0Ac0DWTU/edit?usp=sharing"",""REGISTRATION!C:AB""),26,FALSE)
=""No"",
""No Candy"",
""""
),
""""
)"),"")</f>
        <v/>
      </c>
      <c r="F117" s="32" t="str">
        <f>IFERROR(__xludf.DUMMYFUNCTION("IFNA(VLOOKUP(C117,IMPORTRANGE(""https://docs.google.com/spreadsheets/d/1rG8iy-kKSFDxhVaU60GJ2bpXc8tZqI1bT8U0Ac0DWTU/edit?usp=sharing"",""REGISTRATION!C:V""),18,FALSE),"""")"),"")</f>
        <v/>
      </c>
      <c r="G117" s="32" t="str">
        <f>IFERROR(__xludf.DUMMYFUNCTION("IFNA(VLOOKUP(C117,IMPORTRANGE(""https://docs.google.com/spreadsheets/d/1rG8iy-kKSFDxhVaU60GJ2bpXc8tZqI1bT8U0Ac0DWTU/edit?usp=sharing"",""REGISTRATION!C:V""),20,FALSE),"""")"),"")</f>
        <v/>
      </c>
      <c r="H117" s="32" t="str">
        <f>IFERROR(__xludf.DUMMYFUNCTION("IFNA(VLOOKUP(C117,IMPORTRANGE(""https://docs.google.com/spreadsheets/d/1rG8iy-kKSFDxhVaU60GJ2bpXc8tZqI1bT8U0Ac0DWTU/edit?usp=sharing"",""REGISTRATION!C:V""),19,FALSE),"""")"),"")</f>
        <v/>
      </c>
    </row>
    <row r="118">
      <c r="C118" s="31"/>
      <c r="D118" s="32" t="str">
        <f>IFERROR(__xludf.DUMMYFUNCTION("IFNA(
IF(
VLOOKUP(C118,IMPORTRANGE(""https://docs.google.com/spreadsheets/d/1rG8iy-kKSFDxhVaU60GJ2bpXc8tZqI1bT8U0Ac0DWTU/edit?usp=sharing"",""REGISTRATION!C:X""),22,FALSE)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18" s="33" t="str">
        <f>IFERROR(__xludf.DUMMYFUNCTION("IFNA(
IF(
VLOOKUP(C118,IMPORTRANGE(""https://docs.google.com/spreadsheets/d/1rG8iy-kKSFDxhVaU60GJ2bpXc8tZqI1bT8U0Ac0DWTU/edit?usp=sharing"",""REGISTRATION!C:AB""),26,FALSE)
=""No"",
""No Candy"",
""""
),
""""
)"),"")</f>
        <v/>
      </c>
      <c r="F118" s="32" t="str">
        <f>IFERROR(__xludf.DUMMYFUNCTION("IFNA(VLOOKUP(C118,IMPORTRANGE(""https://docs.google.com/spreadsheets/d/1rG8iy-kKSFDxhVaU60GJ2bpXc8tZqI1bT8U0Ac0DWTU/edit?usp=sharing"",""REGISTRATION!C:V""),18,FALSE),"""")"),"")</f>
        <v/>
      </c>
      <c r="G118" s="32" t="str">
        <f>IFERROR(__xludf.DUMMYFUNCTION("IFNA(VLOOKUP(C118,IMPORTRANGE(""https://docs.google.com/spreadsheets/d/1rG8iy-kKSFDxhVaU60GJ2bpXc8tZqI1bT8U0Ac0DWTU/edit?usp=sharing"",""REGISTRATION!C:V""),20,FALSE),"""")"),"")</f>
        <v/>
      </c>
      <c r="H118" s="32" t="str">
        <f>IFERROR(__xludf.DUMMYFUNCTION("IFNA(VLOOKUP(C118,IMPORTRANGE(""https://docs.google.com/spreadsheets/d/1rG8iy-kKSFDxhVaU60GJ2bpXc8tZqI1bT8U0Ac0DWTU/edit?usp=sharing"",""REGISTRATION!C:V""),19,FALSE),"""")"),"")</f>
        <v/>
      </c>
    </row>
    <row r="119">
      <c r="C119" s="31"/>
      <c r="D119" s="32" t="str">
        <f>IFERROR(__xludf.DUMMYFUNCTION("IFNA(
IF(
VLOOKUP(C119,IMPORTRANGE(""https://docs.google.com/spreadsheets/d/1rG8iy-kKSFDxhVaU60GJ2bpXc8tZqI1bT8U0Ac0DWTU/edit?usp=sharing"",""REGISTRATION!C:X""),22,FALSE)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19" s="33" t="str">
        <f>IFERROR(__xludf.DUMMYFUNCTION("IFNA(
IF(
VLOOKUP(C119,IMPORTRANGE(""https://docs.google.com/spreadsheets/d/1rG8iy-kKSFDxhVaU60GJ2bpXc8tZqI1bT8U0Ac0DWTU/edit?usp=sharing"",""REGISTRATION!C:AB""),26,FALSE)
=""No"",
""No Candy"",
""""
),
""""
)"),"")</f>
        <v/>
      </c>
      <c r="F119" s="32" t="str">
        <f>IFERROR(__xludf.DUMMYFUNCTION("IFNA(VLOOKUP(C119,IMPORTRANGE(""https://docs.google.com/spreadsheets/d/1rG8iy-kKSFDxhVaU60GJ2bpXc8tZqI1bT8U0Ac0DWTU/edit?usp=sharing"",""REGISTRATION!C:V""),18,FALSE),"""")"),"")</f>
        <v/>
      </c>
      <c r="G119" s="32" t="str">
        <f>IFERROR(__xludf.DUMMYFUNCTION("IFNA(VLOOKUP(C119,IMPORTRANGE(""https://docs.google.com/spreadsheets/d/1rG8iy-kKSFDxhVaU60GJ2bpXc8tZqI1bT8U0Ac0DWTU/edit?usp=sharing"",""REGISTRATION!C:V""),20,FALSE),"""")"),"")</f>
        <v/>
      </c>
      <c r="H119" s="32" t="str">
        <f>IFERROR(__xludf.DUMMYFUNCTION("IFNA(VLOOKUP(C119,IMPORTRANGE(""https://docs.google.com/spreadsheets/d/1rG8iy-kKSFDxhVaU60GJ2bpXc8tZqI1bT8U0Ac0DWTU/edit?usp=sharing"",""REGISTRATION!C:V""),19,FALSE),"""")"),"")</f>
        <v/>
      </c>
    </row>
    <row r="120">
      <c r="C120" s="31"/>
      <c r="D120" s="32" t="str">
        <f>IFERROR(__xludf.DUMMYFUNCTION("IFNA(
IF(
VLOOKUP(C120,IMPORTRANGE(""https://docs.google.com/spreadsheets/d/1rG8iy-kKSFDxhVaU60GJ2bpXc8tZqI1bT8U0Ac0DWTU/edit?usp=sharing"",""REGISTRATION!C:X""),22,FALSE)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20" s="33" t="str">
        <f>IFERROR(__xludf.DUMMYFUNCTION("IFNA(
IF(
VLOOKUP(C120,IMPORTRANGE(""https://docs.google.com/spreadsheets/d/1rG8iy-kKSFDxhVaU60GJ2bpXc8tZqI1bT8U0Ac0DWTU/edit?usp=sharing"",""REGISTRATION!C:AB""),26,FALSE)
=""No"",
""No Candy"",
""""
),
""""
)"),"")</f>
        <v/>
      </c>
      <c r="F120" s="32" t="str">
        <f>IFERROR(__xludf.DUMMYFUNCTION("IFNA(VLOOKUP(C120,IMPORTRANGE(""https://docs.google.com/spreadsheets/d/1rG8iy-kKSFDxhVaU60GJ2bpXc8tZqI1bT8U0Ac0DWTU/edit?usp=sharing"",""REGISTRATION!C:V""),18,FALSE),"""")"),"")</f>
        <v/>
      </c>
      <c r="G120" s="32" t="str">
        <f>IFERROR(__xludf.DUMMYFUNCTION("IFNA(VLOOKUP(C120,IMPORTRANGE(""https://docs.google.com/spreadsheets/d/1rG8iy-kKSFDxhVaU60GJ2bpXc8tZqI1bT8U0Ac0DWTU/edit?usp=sharing"",""REGISTRATION!C:V""),20,FALSE),"""")"),"")</f>
        <v/>
      </c>
      <c r="H120" s="32" t="str">
        <f>IFERROR(__xludf.DUMMYFUNCTION("IFNA(VLOOKUP(C120,IMPORTRANGE(""https://docs.google.com/spreadsheets/d/1rG8iy-kKSFDxhVaU60GJ2bpXc8tZqI1bT8U0Ac0DWTU/edit?usp=sharing"",""REGISTRATION!C:V""),19,FALSE),"""")"),"")</f>
        <v/>
      </c>
    </row>
    <row r="121">
      <c r="C121" s="31"/>
      <c r="D121" s="32" t="str">
        <f>IFERROR(__xludf.DUMMYFUNCTION("IFNA(
IF(
VLOOKUP(C121,IMPORTRANGE(""https://docs.google.com/spreadsheets/d/1rG8iy-kKSFDxhVaU60GJ2bpXc8tZqI1bT8U0Ac0DWTU/edit?usp=sharing"",""REGISTRATION!C:X""),22,FALSE)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21" s="33" t="str">
        <f>IFERROR(__xludf.DUMMYFUNCTION("IFNA(
IF(
VLOOKUP(C121,IMPORTRANGE(""https://docs.google.com/spreadsheets/d/1rG8iy-kKSFDxhVaU60GJ2bpXc8tZqI1bT8U0Ac0DWTU/edit?usp=sharing"",""REGISTRATION!C:AB""),26,FALSE)
=""No"",
""No Candy"",
""""
),
""""
)"),"")</f>
        <v/>
      </c>
      <c r="F121" s="32" t="str">
        <f>IFERROR(__xludf.DUMMYFUNCTION("IFNA(VLOOKUP(C121,IMPORTRANGE(""https://docs.google.com/spreadsheets/d/1rG8iy-kKSFDxhVaU60GJ2bpXc8tZqI1bT8U0Ac0DWTU/edit?usp=sharing"",""REGISTRATION!C:V""),18,FALSE),"""")"),"")</f>
        <v/>
      </c>
      <c r="G121" s="32" t="str">
        <f>IFERROR(__xludf.DUMMYFUNCTION("IFNA(VLOOKUP(C121,IMPORTRANGE(""https://docs.google.com/spreadsheets/d/1rG8iy-kKSFDxhVaU60GJ2bpXc8tZqI1bT8U0Ac0DWTU/edit?usp=sharing"",""REGISTRATION!C:V""),20,FALSE),"""")"),"")</f>
        <v/>
      </c>
      <c r="H121" s="32" t="str">
        <f>IFERROR(__xludf.DUMMYFUNCTION("IFNA(VLOOKUP(C121,IMPORTRANGE(""https://docs.google.com/spreadsheets/d/1rG8iy-kKSFDxhVaU60GJ2bpXc8tZqI1bT8U0Ac0DWTU/edit?usp=sharing"",""REGISTRATION!C:V""),19,FALSE),"""")"),"")</f>
        <v/>
      </c>
    </row>
    <row r="122">
      <c r="C122" s="73"/>
      <c r="D122" s="32" t="str">
        <f>IFERROR(__xludf.DUMMYFUNCTION("IFNA(
IF(
VLOOKUP(C122,IMPORTRANGE(""https://docs.google.com/spreadsheets/d/1rG8iy-kKSFDxhVaU60GJ2bpXc8tZqI1bT8U0Ac0DWTU/edit?usp=sharing"",""REGISTRATION!C:X""),22,FALSE)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22" s="33" t="str">
        <f>IFERROR(__xludf.DUMMYFUNCTION("IFNA(
IF(
VLOOKUP(C122,IMPORTRANGE(""https://docs.google.com/spreadsheets/d/1rG8iy-kKSFDxhVaU60GJ2bpXc8tZqI1bT8U0Ac0DWTU/edit?usp=sharing"",""REGISTRATION!C:AB""),26,FALSE)
=""No"",
""No Candy"",
""""
),
""""
)"),"")</f>
        <v/>
      </c>
      <c r="F122" s="32" t="str">
        <f>IFERROR(__xludf.DUMMYFUNCTION("IFNA(VLOOKUP(C122,IMPORTRANGE(""https://docs.google.com/spreadsheets/d/1rG8iy-kKSFDxhVaU60GJ2bpXc8tZqI1bT8U0Ac0DWTU/edit?usp=sharing"",""REGISTRATION!C:V""),18,FALSE),"""")"),"")</f>
        <v/>
      </c>
      <c r="G122" s="32" t="str">
        <f>IFERROR(__xludf.DUMMYFUNCTION("IFNA(VLOOKUP(C122,IMPORTRANGE(""https://docs.google.com/spreadsheets/d/1rG8iy-kKSFDxhVaU60GJ2bpXc8tZqI1bT8U0Ac0DWTU/edit?usp=sharing"",""REGISTRATION!C:V""),20,FALSE),"""")"),"")</f>
        <v/>
      </c>
      <c r="H122" s="32" t="str">
        <f>IFERROR(__xludf.DUMMYFUNCTION("IFNA(VLOOKUP(C122,IMPORTRANGE(""https://docs.google.com/spreadsheets/d/1rG8iy-kKSFDxhVaU60GJ2bpXc8tZqI1bT8U0Ac0DWTU/edit?usp=sharing"",""REGISTRATION!C:V""),19,FALSE),"""")"),"")</f>
        <v/>
      </c>
    </row>
    <row r="123">
      <c r="C123" s="73"/>
      <c r="D123" s="32" t="str">
        <f>IFERROR(__xludf.DUMMYFUNCTION("IFNA(
IF(
VLOOKUP(C123,IMPORTRANGE(""https://docs.google.com/spreadsheets/d/1rG8iy-kKSFDxhVaU60GJ2bpXc8tZqI1bT8U0Ac0DWTU/edit?usp=sharing"",""REGISTRATION!C:X""),22,FALSE)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23" s="33" t="str">
        <f>IFERROR(__xludf.DUMMYFUNCTION("IFNA(
IF(
VLOOKUP(C123,IMPORTRANGE(""https://docs.google.com/spreadsheets/d/1rG8iy-kKSFDxhVaU60GJ2bpXc8tZqI1bT8U0Ac0DWTU/edit?usp=sharing"",""REGISTRATION!C:AB""),26,FALSE)
=""No"",
""No Candy"",
""""
),
""""
)"),"")</f>
        <v/>
      </c>
      <c r="F123" s="32" t="str">
        <f>IFERROR(__xludf.DUMMYFUNCTION("IFNA(VLOOKUP(C123,IMPORTRANGE(""https://docs.google.com/spreadsheets/d/1rG8iy-kKSFDxhVaU60GJ2bpXc8tZqI1bT8U0Ac0DWTU/edit?usp=sharing"",""REGISTRATION!C:V""),18,FALSE),"""")"),"")</f>
        <v/>
      </c>
      <c r="G123" s="32" t="str">
        <f>IFERROR(__xludf.DUMMYFUNCTION("IFNA(VLOOKUP(C123,IMPORTRANGE(""https://docs.google.com/spreadsheets/d/1rG8iy-kKSFDxhVaU60GJ2bpXc8tZqI1bT8U0Ac0DWTU/edit?usp=sharing"",""REGISTRATION!C:V""),20,FALSE),"""")"),"")</f>
        <v/>
      </c>
      <c r="H123" s="32" t="str">
        <f>IFERROR(__xludf.DUMMYFUNCTION("IFNA(VLOOKUP(C123,IMPORTRANGE(""https://docs.google.com/spreadsheets/d/1rG8iy-kKSFDxhVaU60GJ2bpXc8tZqI1bT8U0Ac0DWTU/edit?usp=sharing"",""REGISTRATION!C:V""),19,FALSE),"""")"),"")</f>
        <v/>
      </c>
    </row>
    <row r="124">
      <c r="A124" s="15" t="s">
        <v>246</v>
      </c>
      <c r="B124" s="15" t="s">
        <v>247</v>
      </c>
      <c r="C124" s="28" t="s">
        <v>33</v>
      </c>
      <c r="D124" s="21" t="str">
        <f>IFERROR(__xludf.DUMMYFUNCTION("IFNA(
IF(
VLOOKUP(C124,IMPORTRANGE(""https://docs.google.com/spreadsheets/d/1rG8iy-kKSFDxhVaU60GJ2bpXc8tZqI1bT8U0Ac0DWTU/edit?usp=sharing"",""REGISTRATION!C:X""),22,FALSE)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24" s="22" t="str">
        <f>IFERROR(__xludf.DUMMYFUNCTION("IFNA(
IF(
VLOOKUP(C124,IMPORTRANGE(""https://docs.google.com/spreadsheets/d/1rG8iy-kKSFDxhVaU60GJ2bpXc8tZqI1bT8U0Ac0DWTU/edit?usp=sharing"",""REGISTRATION!C:AB""),26,FALSE)
=""No"",
""No Candy"",
""""
),
""""
)"),"")</f>
        <v/>
      </c>
      <c r="F124" s="21" t="str">
        <f>IFERROR(__xludf.DUMMYFUNCTION("IFNA(VLOOKUP(C124,IMPORTRANGE(""https://docs.google.com/spreadsheets/d/1rG8iy-kKSFDxhVaU60GJ2bpXc8tZqI1bT8U0Ac0DWTU/edit?usp=sharing"",""REGISTRATION!C:V""),18,FALSE),"""")"),"None")</f>
        <v>None</v>
      </c>
      <c r="G124" s="21" t="str">
        <f>IFERROR(__xludf.DUMMYFUNCTION("IFNA(VLOOKUP(C124,IMPORTRANGE(""https://docs.google.com/spreadsheets/d/1rG8iy-kKSFDxhVaU60GJ2bpXc8tZqI1bT8U0Ac0DWTU/edit?usp=sharing"",""REGISTRATION!C:V""),20,FALSE),"""")"),"")</f>
        <v/>
      </c>
      <c r="H124" s="21" t="str">
        <f>IFERROR(__xludf.DUMMYFUNCTION("IFNA(VLOOKUP(C124,IMPORTRANGE(""https://docs.google.com/spreadsheets/d/1rG8iy-kKSFDxhVaU60GJ2bpXc8tZqI1bT8U0Ac0DWTU/edit?usp=sharing"",""REGISTRATION!C:V""),19,FALSE),"""")"),"None")</f>
        <v>None</v>
      </c>
    </row>
    <row r="125">
      <c r="C125" s="28" t="s">
        <v>37</v>
      </c>
      <c r="D125" s="21" t="str">
        <f>IFERROR(__xludf.DUMMYFUNCTION("IFNA(
IF(
VLOOKUP(C125,IMPORTRANGE(""https://docs.google.com/spreadsheets/d/1rG8iy-kKSFDxhVaU60GJ2bpXc8tZqI1bT8U0Ac0DWTU/edit?usp=sharing"",""REGISTRATION!C:X""),22,FALSE)
=""I qualify for Free and Reduced Lunch and WOULD like lunch to be provided for my "&amp;"child."",
""Yes"",
""""
),
""""
)"),"Yes")</f>
        <v>Yes</v>
      </c>
      <c r="E125" s="22" t="str">
        <f>IFERROR(__xludf.DUMMYFUNCTION("IFNA(
IF(
VLOOKUP(C125,IMPORTRANGE(""https://docs.google.com/spreadsheets/d/1rG8iy-kKSFDxhVaU60GJ2bpXc8tZqI1bT8U0Ac0DWTU/edit?usp=sharing"",""REGISTRATION!C:AB""),26,FALSE)
=""No"",
""No Candy"",
""""
),
""""
)"),"")</f>
        <v/>
      </c>
      <c r="F125" s="21" t="str">
        <f>IFERROR(__xludf.DUMMYFUNCTION("IFNA(VLOOKUP(C125,IMPORTRANGE(""https://docs.google.com/spreadsheets/d/1rG8iy-kKSFDxhVaU60GJ2bpXc8tZqI1bT8U0Ac0DWTU/edit?usp=sharing"",""REGISTRATION!C:V""),18,FALSE),"""")"),"None")</f>
        <v>None</v>
      </c>
      <c r="G125" s="21" t="str">
        <f>IFERROR(__xludf.DUMMYFUNCTION("IFNA(VLOOKUP(C125,IMPORTRANGE(""https://docs.google.com/spreadsheets/d/1rG8iy-kKSFDxhVaU60GJ2bpXc8tZqI1bT8U0Ac0DWTU/edit?usp=sharing"",""REGISTRATION!C:V""),20,FALSE),"""")"),"")</f>
        <v/>
      </c>
      <c r="H125" s="21" t="str">
        <f>IFERROR(__xludf.DUMMYFUNCTION("IFNA(VLOOKUP(C125,IMPORTRANGE(""https://docs.google.com/spreadsheets/d/1rG8iy-kKSFDxhVaU60GJ2bpXc8tZqI1bT8U0Ac0DWTU/edit?usp=sharing"",""REGISTRATION!C:V""),19,FALSE),"""")"),"None")</f>
        <v>None</v>
      </c>
    </row>
    <row r="126">
      <c r="C126" s="28" t="s">
        <v>52</v>
      </c>
      <c r="D126" s="21" t="str">
        <f>IFERROR(__xludf.DUMMYFUNCTION("IFNA(
IF(
VLOOKUP(C126,IMPORTRANGE(""https://docs.google.com/spreadsheets/d/1rG8iy-kKSFDxhVaU60GJ2bpXc8tZqI1bT8U0Ac0DWTU/edit?usp=sharing"",""REGISTRATION!C:X""),22,FALSE)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26" s="22" t="str">
        <f>IFERROR(__xludf.DUMMYFUNCTION("IFNA(
IF(
VLOOKUP(C126,IMPORTRANGE(""https://docs.google.com/spreadsheets/d/1rG8iy-kKSFDxhVaU60GJ2bpXc8tZqI1bT8U0Ac0DWTU/edit?usp=sharing"",""REGISTRATION!C:AB""),26,FALSE)
=""No"",
""No Candy"",
""""
),
""""
)"),"")</f>
        <v/>
      </c>
      <c r="F126" s="21" t="str">
        <f>IFERROR(__xludf.DUMMYFUNCTION("IFNA(VLOOKUP(C126,IMPORTRANGE(""https://docs.google.com/spreadsheets/d/1rG8iy-kKSFDxhVaU60GJ2bpXc8tZqI1bT8U0Ac0DWTU/edit?usp=sharing"",""REGISTRATION!C:V""),18,FALSE),"""")"),"None")</f>
        <v>None</v>
      </c>
      <c r="G126" s="21" t="str">
        <f>IFERROR(__xludf.DUMMYFUNCTION("IFNA(VLOOKUP(C126,IMPORTRANGE(""https://docs.google.com/spreadsheets/d/1rG8iy-kKSFDxhVaU60GJ2bpXc8tZqI1bT8U0Ac0DWTU/edit?usp=sharing"",""REGISTRATION!C:V""),20,FALSE),"""")"),"")</f>
        <v/>
      </c>
      <c r="H126" s="21" t="str">
        <f>IFERROR(__xludf.DUMMYFUNCTION("IFNA(VLOOKUP(C126,IMPORTRANGE(""https://docs.google.com/spreadsheets/d/1rG8iy-kKSFDxhVaU60GJ2bpXc8tZqI1bT8U0Ac0DWTU/edit?usp=sharing"",""REGISTRATION!C:V""),19,FALSE),"""")"),"None")</f>
        <v>None</v>
      </c>
    </row>
    <row r="127">
      <c r="C127" s="28" t="s">
        <v>53</v>
      </c>
      <c r="D127" s="21" t="str">
        <f>IFERROR(__xludf.DUMMYFUNCTION("IFNA(
IF(
VLOOKUP(C127,IMPORTRANGE(""https://docs.google.com/spreadsheets/d/1rG8iy-kKSFDxhVaU60GJ2bpXc8tZqI1bT8U0Ac0DWTU/edit?usp=sharing"",""REGISTRATION!C:X""),22,FALSE)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27" s="22" t="str">
        <f>IFERROR(__xludf.DUMMYFUNCTION("IFNA(
IF(
VLOOKUP(C127,IMPORTRANGE(""https://docs.google.com/spreadsheets/d/1rG8iy-kKSFDxhVaU60GJ2bpXc8tZqI1bT8U0Ac0DWTU/edit?usp=sharing"",""REGISTRATION!C:AB""),26,FALSE)
=""No"",
""No Candy"",
""""
),
""""
)"),"")</f>
        <v/>
      </c>
      <c r="F127" s="21" t="str">
        <f>IFERROR(__xludf.DUMMYFUNCTION("IFNA(VLOOKUP(C127,IMPORTRANGE(""https://docs.google.com/spreadsheets/d/1rG8iy-kKSFDxhVaU60GJ2bpXc8tZqI1bT8U0Ac0DWTU/edit?usp=sharing"",""REGISTRATION!C:V""),18,FALSE),"""")"),"None")</f>
        <v>None</v>
      </c>
      <c r="G127" s="21" t="str">
        <f>IFERROR(__xludf.DUMMYFUNCTION("IFNA(VLOOKUP(C127,IMPORTRANGE(""https://docs.google.com/spreadsheets/d/1rG8iy-kKSFDxhVaU60GJ2bpXc8tZqI1bT8U0Ac0DWTU/edit?usp=sharing"",""REGISTRATION!C:V""),20,FALSE),"""")"),"")</f>
        <v/>
      </c>
      <c r="H127" s="21" t="str">
        <f>IFERROR(__xludf.DUMMYFUNCTION("IFNA(VLOOKUP(C127,IMPORTRANGE(""https://docs.google.com/spreadsheets/d/1rG8iy-kKSFDxhVaU60GJ2bpXc8tZqI1bT8U0Ac0DWTU/edit?usp=sharing"",""REGISTRATION!C:V""),19,FALSE),"""")"),"None")</f>
        <v>None</v>
      </c>
    </row>
    <row r="128">
      <c r="C128" s="28" t="s">
        <v>149</v>
      </c>
      <c r="D128" s="21" t="str">
        <f>IFERROR(__xludf.DUMMYFUNCTION("IFNA(
IF(
VLOOKUP(C128,IMPORTRANGE(""https://docs.google.com/spreadsheets/d/1rG8iy-kKSFDxhVaU60GJ2bpXc8tZqI1bT8U0Ac0DWTU/edit?usp=sharing"",""REGISTRATION!C:X""),22,FALSE)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28" s="22" t="str">
        <f>IFERROR(__xludf.DUMMYFUNCTION("IFNA(
IF(
VLOOKUP(C128,IMPORTRANGE(""https://docs.google.com/spreadsheets/d/1rG8iy-kKSFDxhVaU60GJ2bpXc8tZqI1bT8U0Ac0DWTU/edit?usp=sharing"",""REGISTRATION!C:AB""),26,FALSE)
=""No"",
""No Candy"",
""""
),
""""
)"),"")</f>
        <v/>
      </c>
      <c r="F128" s="21" t="str">
        <f>IFERROR(__xludf.DUMMYFUNCTION("IFNA(VLOOKUP(C128,IMPORTRANGE(""https://docs.google.com/spreadsheets/d/1rG8iy-kKSFDxhVaU60GJ2bpXc8tZqI1bT8U0Ac0DWTU/edit?usp=sharing"",""REGISTRATION!C:V""),18,FALSE),"""")"),"None")</f>
        <v>None</v>
      </c>
      <c r="G128" s="21" t="str">
        <f>IFERROR(__xludf.DUMMYFUNCTION("IFNA(VLOOKUP(C128,IMPORTRANGE(""https://docs.google.com/spreadsheets/d/1rG8iy-kKSFDxhVaU60GJ2bpXc8tZqI1bT8U0Ac0DWTU/edit?usp=sharing"",""REGISTRATION!C:V""),20,FALSE),"""")"),"")</f>
        <v/>
      </c>
      <c r="H128" s="21" t="str">
        <f>IFERROR(__xludf.DUMMYFUNCTION("IFNA(VLOOKUP(C128,IMPORTRANGE(""https://docs.google.com/spreadsheets/d/1rG8iy-kKSFDxhVaU60GJ2bpXc8tZqI1bT8U0Ac0DWTU/edit?usp=sharing"",""REGISTRATION!C:V""),19,FALSE),"""")"),"None")</f>
        <v>None</v>
      </c>
    </row>
    <row r="129">
      <c r="C129" s="28" t="s">
        <v>56</v>
      </c>
      <c r="D129" s="21" t="str">
        <f>IFERROR(__xludf.DUMMYFUNCTION("IFNA(
IF(
VLOOKUP(C129,IMPORTRANGE(""https://docs.google.com/spreadsheets/d/1rG8iy-kKSFDxhVaU60GJ2bpXc8tZqI1bT8U0Ac0DWTU/edit?usp=sharing"",""REGISTRATION!C:X""),22,FALSE)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29" s="22" t="str">
        <f>IFERROR(__xludf.DUMMYFUNCTION("IFNA(
IF(
VLOOKUP(C129,IMPORTRANGE(""https://docs.google.com/spreadsheets/d/1rG8iy-kKSFDxhVaU60GJ2bpXc8tZqI1bT8U0Ac0DWTU/edit?usp=sharing"",""REGISTRATION!C:AB""),26,FALSE)
=""No"",
""No Candy"",
""""
),
""""
)"),"")</f>
        <v/>
      </c>
      <c r="F129" s="21" t="str">
        <f>IFERROR(__xludf.DUMMYFUNCTION("IFNA(VLOOKUP(C129,IMPORTRANGE(""https://docs.google.com/spreadsheets/d/1rG8iy-kKSFDxhVaU60GJ2bpXc8tZqI1bT8U0Ac0DWTU/edit?usp=sharing"",""REGISTRATION!C:V""),18,FALSE),"""")"),"Egg, fish and all nuts")</f>
        <v>Egg, fish and all nuts</v>
      </c>
      <c r="G129" s="21" t="str">
        <f>IFERROR(__xludf.DUMMYFUNCTION("IFNA(VLOOKUP(C129,IMPORTRANGE(""https://docs.google.com/spreadsheets/d/1rG8iy-kKSFDxhVaU60GJ2bpXc8tZqI1bT8U0Ac0DWTU/edit?usp=sharing"",""REGISTRATION!C:V""),20,FALSE),"""")"),"")</f>
        <v/>
      </c>
      <c r="H129" s="21" t="str">
        <f>IFERROR(__xludf.DUMMYFUNCTION("IFNA(VLOOKUP(C129,IMPORTRANGE(""https://docs.google.com/spreadsheets/d/1rG8iy-kKSFDxhVaU60GJ2bpXc8tZqI1bT8U0Ac0DWTU/edit?usp=sharing"",""REGISTRATION!C:V""),19,FALSE),"""")"),"None")</f>
        <v>None</v>
      </c>
    </row>
    <row r="130">
      <c r="C130" s="28" t="s">
        <v>57</v>
      </c>
      <c r="D130" s="21" t="str">
        <f>IFERROR(__xludf.DUMMYFUNCTION("IFNA(
IF(
VLOOKUP(C130,IMPORTRANGE(""https://docs.google.com/spreadsheets/d/1rG8iy-kKSFDxhVaU60GJ2bpXc8tZqI1bT8U0Ac0DWTU/edit?usp=sharing"",""REGISTRATION!C:X""),22,FALSE)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30" s="22" t="str">
        <f>IFERROR(__xludf.DUMMYFUNCTION("IFNA(
IF(
VLOOKUP(C130,IMPORTRANGE(""https://docs.google.com/spreadsheets/d/1rG8iy-kKSFDxhVaU60GJ2bpXc8tZqI1bT8U0Ac0DWTU/edit?usp=sharing"",""REGISTRATION!C:AB""),26,FALSE)
=""No"",
""No Candy"",
""""
),
""""
)"),"")</f>
        <v/>
      </c>
      <c r="F130" s="21" t="str">
        <f>IFERROR(__xludf.DUMMYFUNCTION("IFNA(VLOOKUP(C130,IMPORTRANGE(""https://docs.google.com/spreadsheets/d/1rG8iy-kKSFDxhVaU60GJ2bpXc8tZqI1bT8U0Ac0DWTU/edit?usp=sharing"",""REGISTRATION!C:V""),18,FALSE),"""")"),"None")</f>
        <v>None</v>
      </c>
      <c r="G130" s="21" t="str">
        <f>IFERROR(__xludf.DUMMYFUNCTION("IFNA(VLOOKUP(C130,IMPORTRANGE(""https://docs.google.com/spreadsheets/d/1rG8iy-kKSFDxhVaU60GJ2bpXc8tZqI1bT8U0Ac0DWTU/edit?usp=sharing"",""REGISTRATION!C:V""),20,FALSE),"""")"),"")</f>
        <v/>
      </c>
      <c r="H130" s="21" t="str">
        <f>IFERROR(__xludf.DUMMYFUNCTION("IFNA(VLOOKUP(C130,IMPORTRANGE(""https://docs.google.com/spreadsheets/d/1rG8iy-kKSFDxhVaU60GJ2bpXc8tZqI1bT8U0Ac0DWTU/edit?usp=sharing"",""REGISTRATION!C:V""),19,FALSE),"""")"),"None")</f>
        <v>None</v>
      </c>
    </row>
    <row r="131">
      <c r="C131" s="28" t="s">
        <v>63</v>
      </c>
      <c r="D131" s="21" t="str">
        <f>IFERROR(__xludf.DUMMYFUNCTION("IFNA(
IF(
VLOOKUP(C131,IMPORTRANGE(""https://docs.google.com/spreadsheets/d/1rG8iy-kKSFDxhVaU60GJ2bpXc8tZqI1bT8U0Ac0DWTU/edit?usp=sharing"",""REGISTRATION!C:X""),22,FALSE)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31" s="22" t="str">
        <f>IFERROR(__xludf.DUMMYFUNCTION("IFNA(
IF(
VLOOKUP(C131,IMPORTRANGE(""https://docs.google.com/spreadsheets/d/1rG8iy-kKSFDxhVaU60GJ2bpXc8tZqI1bT8U0Ac0DWTU/edit?usp=sharing"",""REGISTRATION!C:AB""),26,FALSE)
=""No"",
""No Candy"",
""""
),
""""
)"),"")</f>
        <v/>
      </c>
      <c r="F131" s="21" t="str">
        <f>IFERROR(__xludf.DUMMYFUNCTION("IFNA(VLOOKUP(C131,IMPORTRANGE(""https://docs.google.com/spreadsheets/d/1rG8iy-kKSFDxhVaU60GJ2bpXc8tZqI1bT8U0Ac0DWTU/edit?usp=sharing"",""REGISTRATION!C:V""),18,FALSE),"""")"),"None")</f>
        <v>None</v>
      </c>
      <c r="G131" s="21" t="str">
        <f>IFERROR(__xludf.DUMMYFUNCTION("IFNA(VLOOKUP(C131,IMPORTRANGE(""https://docs.google.com/spreadsheets/d/1rG8iy-kKSFDxhVaU60GJ2bpXc8tZqI1bT8U0Ac0DWTU/edit?usp=sharing"",""REGISTRATION!C:V""),20,FALSE),"""")"),"")</f>
        <v/>
      </c>
      <c r="H131" s="21" t="str">
        <f>IFERROR(__xludf.DUMMYFUNCTION("IFNA(VLOOKUP(C131,IMPORTRANGE(""https://docs.google.com/spreadsheets/d/1rG8iy-kKSFDxhVaU60GJ2bpXc8tZqI1bT8U0Ac0DWTU/edit?usp=sharing"",""REGISTRATION!C:V""),19,FALSE),"""")"),"None")</f>
        <v>None</v>
      </c>
    </row>
    <row r="132">
      <c r="C132" s="74" t="s">
        <v>46</v>
      </c>
      <c r="D132" s="21" t="str">
        <f>IFERROR(__xludf.DUMMYFUNCTION("IFNA(
IF(
VLOOKUP(C132,IMPORTRANGE(""https://docs.google.com/spreadsheets/d/1rG8iy-kKSFDxhVaU60GJ2bpXc8tZqI1bT8U0Ac0DWTU/edit?usp=sharing"",""REGISTRATION!C:X""),22,FALSE)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32" s="22" t="str">
        <f>IFERROR(__xludf.DUMMYFUNCTION("IFNA(
IF(
VLOOKUP(C132,IMPORTRANGE(""https://docs.google.com/spreadsheets/d/1rG8iy-kKSFDxhVaU60GJ2bpXc8tZqI1bT8U0Ac0DWTU/edit?usp=sharing"",""REGISTRATION!C:AB""),26,FALSE)
=""No"",
""No Candy"",
""""
),
""""
)"),"")</f>
        <v/>
      </c>
      <c r="F132" s="21" t="str">
        <f>IFERROR(__xludf.DUMMYFUNCTION("IFNA(VLOOKUP(C132,IMPORTRANGE(""https://docs.google.com/spreadsheets/d/1rG8iy-kKSFDxhVaU60GJ2bpXc8tZqI1bT8U0Ac0DWTU/edit?usp=sharing"",""REGISTRATION!C:V""),18,FALSE),"""")"),"None")</f>
        <v>None</v>
      </c>
      <c r="G132" s="21" t="str">
        <f>IFERROR(__xludf.DUMMYFUNCTION("IFNA(VLOOKUP(C132,IMPORTRANGE(""https://docs.google.com/spreadsheets/d/1rG8iy-kKSFDxhVaU60GJ2bpXc8tZqI1bT8U0Ac0DWTU/edit?usp=sharing"",""REGISTRATION!C:V""),20,FALSE),"""")"),"")</f>
        <v/>
      </c>
      <c r="H132" s="21" t="str">
        <f>IFERROR(__xludf.DUMMYFUNCTION("IFNA(VLOOKUP(C132,IMPORTRANGE(""https://docs.google.com/spreadsheets/d/1rG8iy-kKSFDxhVaU60GJ2bpXc8tZqI1bT8U0Ac0DWTU/edit?usp=sharing"",""REGISTRATION!C:V""),19,FALSE),"""")"),"None")</f>
        <v>None</v>
      </c>
    </row>
    <row r="133">
      <c r="C133" s="74" t="s">
        <v>248</v>
      </c>
      <c r="D133" s="21" t="str">
        <f>IFERROR(__xludf.DUMMYFUNCTION("IFNA(
IF(
VLOOKUP(C133,IMPORTRANGE(""https://docs.google.com/spreadsheets/d/1rG8iy-kKSFDxhVaU60GJ2bpXc8tZqI1bT8U0Ac0DWTU/edit?usp=sharing"",""REGISTRATION!C:X""),22,FALSE)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33" s="22" t="str">
        <f>IFERROR(__xludf.DUMMYFUNCTION("IFNA(
IF(
VLOOKUP(C133,IMPORTRANGE(""https://docs.google.com/spreadsheets/d/1rG8iy-kKSFDxhVaU60GJ2bpXc8tZqI1bT8U0Ac0DWTU/edit?usp=sharing"",""REGISTRATION!C:AB""),26,FALSE)
=""No"",
""No Candy"",
""""
),
""""
)"),"")</f>
        <v/>
      </c>
      <c r="F133" s="21" t="str">
        <f>IFERROR(__xludf.DUMMYFUNCTION("IFNA(VLOOKUP(C133,IMPORTRANGE(""https://docs.google.com/spreadsheets/d/1rG8iy-kKSFDxhVaU60GJ2bpXc8tZqI1bT8U0Ac0DWTU/edit?usp=sharing"",""REGISTRATION!C:V""),18,FALSE),"""")"),"None")</f>
        <v>None</v>
      </c>
      <c r="G133" s="21" t="str">
        <f>IFERROR(__xludf.DUMMYFUNCTION("IFNA(VLOOKUP(C133,IMPORTRANGE(""https://docs.google.com/spreadsheets/d/1rG8iy-kKSFDxhVaU60GJ2bpXc8tZqI1bT8U0Ac0DWTU/edit?usp=sharing"",""REGISTRATION!C:V""),20,FALSE),"""")"),"")</f>
        <v/>
      </c>
      <c r="H133" s="21" t="str">
        <f>IFERROR(__xludf.DUMMYFUNCTION("IFNA(VLOOKUP(C133,IMPORTRANGE(""https://docs.google.com/spreadsheets/d/1rG8iy-kKSFDxhVaU60GJ2bpXc8tZqI1bT8U0Ac0DWTU/edit?usp=sharing"",""REGISTRATION!C:V""),19,FALSE),"""")"),"None")</f>
        <v>None</v>
      </c>
    </row>
    <row r="134">
      <c r="C134" s="74" t="s">
        <v>249</v>
      </c>
      <c r="D134" s="21" t="str">
        <f>IFERROR(__xludf.DUMMYFUNCTION("IFNA(
IF(
VLOOKUP(C134,IMPORTRANGE(""https://docs.google.com/spreadsheets/d/1rG8iy-kKSFDxhVaU60GJ2bpXc8tZqI1bT8U0Ac0DWTU/edit?usp=sharing"",""REGISTRATION!C:X""),22,FALSE)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34" s="22" t="str">
        <f>IFERROR(__xludf.DUMMYFUNCTION("IFNA(
IF(
VLOOKUP(C134,IMPORTRANGE(""https://docs.google.com/spreadsheets/d/1rG8iy-kKSFDxhVaU60GJ2bpXc8tZqI1bT8U0Ac0DWTU/edit?usp=sharing"",""REGISTRATION!C:AB""),26,FALSE)
=""No"",
""No Candy"",
""""
),
""""
)"),"")</f>
        <v/>
      </c>
      <c r="F134" s="21" t="str">
        <f>IFERROR(__xludf.DUMMYFUNCTION("IFNA(VLOOKUP(C134,IMPORTRANGE(""https://docs.google.com/spreadsheets/d/1rG8iy-kKSFDxhVaU60GJ2bpXc8tZqI1bT8U0Ac0DWTU/edit?usp=sharing"",""REGISTRATION!C:V""),18,FALSE),"""")"),"None")</f>
        <v>None</v>
      </c>
      <c r="G134" s="21" t="str">
        <f>IFERROR(__xludf.DUMMYFUNCTION("IFNA(VLOOKUP(C134,IMPORTRANGE(""https://docs.google.com/spreadsheets/d/1rG8iy-kKSFDxhVaU60GJ2bpXc8tZqI1bT8U0Ac0DWTU/edit?usp=sharing"",""REGISTRATION!C:V""),20,FALSE),"""")"),"Egg allergies, no egg in food.")</f>
        <v>Egg allergies, no egg in food.</v>
      </c>
      <c r="H134" s="21" t="str">
        <f>IFERROR(__xludf.DUMMYFUNCTION("IFNA(VLOOKUP(C134,IMPORTRANGE(""https://docs.google.com/spreadsheets/d/1rG8iy-kKSFDxhVaU60GJ2bpXc8tZqI1bT8U0Ac0DWTU/edit?usp=sharing"",""REGISTRATION!C:V""),19,FALSE),"""")"),"None")</f>
        <v>None</v>
      </c>
    </row>
    <row r="135">
      <c r="C135" s="28" t="s">
        <v>198</v>
      </c>
      <c r="D135" s="21" t="str">
        <f>IFERROR(__xludf.DUMMYFUNCTION("IFNA(
IF(
VLOOKUP(C135,IMPORTRANGE(""https://docs.google.com/spreadsheets/d/1rG8iy-kKSFDxhVaU60GJ2bpXc8tZqI1bT8U0Ac0DWTU/edit?usp=sharing"",""REGISTRATION!C:X""),22,FALSE)
=""I qualify for Free and Reduced Lunch and WOULD like lunch to be provided for my "&amp;"child."",
""Yes"",
""""
),
""""
)"),"Yes")</f>
        <v>Yes</v>
      </c>
      <c r="E135" s="22" t="str">
        <f>IFERROR(__xludf.DUMMYFUNCTION("IFNA(
IF(
VLOOKUP(C135,IMPORTRANGE(""https://docs.google.com/spreadsheets/d/1rG8iy-kKSFDxhVaU60GJ2bpXc8tZqI1bT8U0Ac0DWTU/edit?usp=sharing"",""REGISTRATION!C:AB""),26,FALSE)
=""No"",
""No Candy"",
""""
),
""""
)"),"")</f>
        <v/>
      </c>
      <c r="F135" s="21" t="str">
        <f>IFERROR(__xludf.DUMMYFUNCTION("IFNA(VLOOKUP(C135,IMPORTRANGE(""https://docs.google.com/spreadsheets/d/1rG8iy-kKSFDxhVaU60GJ2bpXc8tZqI1bT8U0Ac0DWTU/edit?usp=sharing"",""REGISTRATION!C:V""),18,FALSE),"""")"),"None")</f>
        <v>None</v>
      </c>
      <c r="G135" s="21" t="str">
        <f>IFERROR(__xludf.DUMMYFUNCTION("IFNA(VLOOKUP(C135,IMPORTRANGE(""https://docs.google.com/spreadsheets/d/1rG8iy-kKSFDxhVaU60GJ2bpXc8tZqI1bT8U0Ac0DWTU/edit?usp=sharing"",""REGISTRATION!C:V""),20,FALSE),"""")"),"")</f>
        <v/>
      </c>
      <c r="H135" s="21" t="str">
        <f>IFERROR(__xludf.DUMMYFUNCTION("IFNA(VLOOKUP(C135,IMPORTRANGE(""https://docs.google.com/spreadsheets/d/1rG8iy-kKSFDxhVaU60GJ2bpXc8tZqI1bT8U0Ac0DWTU/edit?usp=sharing"",""REGISTRATION!C:V""),19,FALSE),"""")"),"None")</f>
        <v>None</v>
      </c>
    </row>
    <row r="136">
      <c r="C136" s="28" t="s">
        <v>250</v>
      </c>
      <c r="D136" s="21" t="str">
        <f>IFERROR(__xludf.DUMMYFUNCTION("IFNA(
IF(
VLOOKUP(C136,IMPORTRANGE(""https://docs.google.com/spreadsheets/d/1rG8iy-kKSFDxhVaU60GJ2bpXc8tZqI1bT8U0Ac0DWTU/edit?usp=sharing"",""REGISTRATION!C:X""),22,FALSE)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36" s="22" t="str">
        <f>IFERROR(__xludf.DUMMYFUNCTION("IFNA(
IF(
VLOOKUP(C136,IMPORTRANGE(""https://docs.google.com/spreadsheets/d/1rG8iy-kKSFDxhVaU60GJ2bpXc8tZqI1bT8U0Ac0DWTU/edit?usp=sharing"",""REGISTRATION!C:AB""),26,FALSE)
=""No"",
""No Candy"",
""""
),
""""
)"),"")</f>
        <v/>
      </c>
      <c r="F136" s="21" t="str">
        <f>IFERROR(__xludf.DUMMYFUNCTION("IFNA(VLOOKUP(C136,IMPORTRANGE(""https://docs.google.com/spreadsheets/d/1rG8iy-kKSFDxhVaU60GJ2bpXc8tZqI1bT8U0Ac0DWTU/edit?usp=sharing"",""REGISTRATION!C:V""),18,FALSE),"""")"),"None")</f>
        <v>None</v>
      </c>
      <c r="G136" s="21" t="str">
        <f>IFERROR(__xludf.DUMMYFUNCTION("IFNA(VLOOKUP(C136,IMPORTRANGE(""https://docs.google.com/spreadsheets/d/1rG8iy-kKSFDxhVaU60GJ2bpXc8tZqI1bT8U0Ac0DWTU/edit?usp=sharing"",""REGISTRATION!C:V""),20,FALSE),"""")"),"He has done (very) basic coding in after school programs and loved it. He is very eager to learn more advanced skills. ")</f>
        <v>He has done (very) basic coding in after school programs and loved it. He is very eager to learn more advanced skills. </v>
      </c>
      <c r="H136" s="21" t="str">
        <f>IFERROR(__xludf.DUMMYFUNCTION("IFNA(VLOOKUP(C136,IMPORTRANGE(""https://docs.google.com/spreadsheets/d/1rG8iy-kKSFDxhVaU60GJ2bpXc8tZqI1bT8U0Ac0DWTU/edit?usp=sharing"",""REGISTRATION!C:V""),19,FALSE),"""")"),"None")</f>
        <v>None</v>
      </c>
    </row>
    <row r="137">
      <c r="C137" s="28" t="s">
        <v>251</v>
      </c>
      <c r="D137" s="21" t="str">
        <f>IFERROR(__xludf.DUMMYFUNCTION("IFNA(
IF(
VLOOKUP(C137,IMPORTRANGE(""https://docs.google.com/spreadsheets/d/1rG8iy-kKSFDxhVaU60GJ2bpXc8tZqI1bT8U0Ac0DWTU/edit?usp=sharing"",""REGISTRATION!C:X""),22,FALSE)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37" s="22" t="str">
        <f>IFERROR(__xludf.DUMMYFUNCTION("IFNA(
IF(
VLOOKUP(C137,IMPORTRANGE(""https://docs.google.com/spreadsheets/d/1rG8iy-kKSFDxhVaU60GJ2bpXc8tZqI1bT8U0Ac0DWTU/edit?usp=sharing"",""REGISTRATION!C:AB""),26,FALSE)
=""No"",
""No Candy"",
""""
),
""""
)"),"")</f>
        <v/>
      </c>
      <c r="F137" s="21" t="str">
        <f>IFERROR(__xludf.DUMMYFUNCTION("IFNA(VLOOKUP(C137,IMPORTRANGE(""https://docs.google.com/spreadsheets/d/1rG8iy-kKSFDxhVaU60GJ2bpXc8tZqI1bT8U0Ac0DWTU/edit?usp=sharing"",""REGISTRATION!C:V""),18,FALSE),"""")"),"Shellfish ")</f>
        <v>Shellfish </v>
      </c>
      <c r="G137" s="21" t="str">
        <f>IFERROR(__xludf.DUMMYFUNCTION("IFNA(VLOOKUP(C137,IMPORTRANGE(""https://docs.google.com/spreadsheets/d/1rG8iy-kKSFDxhVaU60GJ2bpXc8tZqI1bT8U0Ac0DWTU/edit?usp=sharing"",""REGISTRATION!C:V""),20,FALSE),"""")"),"")</f>
        <v/>
      </c>
      <c r="H137" s="21" t="str">
        <f>IFERROR(__xludf.DUMMYFUNCTION("IFNA(VLOOKUP(C137,IMPORTRANGE(""https://docs.google.com/spreadsheets/d/1rG8iy-kKSFDxhVaU60GJ2bpXc8tZqI1bT8U0Ac0DWTU/edit?usp=sharing"",""REGISTRATION!C:V""),19,FALSE),"""")"),"None")</f>
        <v>None</v>
      </c>
    </row>
    <row r="138">
      <c r="C138" s="28" t="s">
        <v>156</v>
      </c>
      <c r="D138" s="21" t="str">
        <f>IFERROR(__xludf.DUMMYFUNCTION("IFNA(
IF(
VLOOKUP(C138,IMPORTRANGE(""https://docs.google.com/spreadsheets/d/1rG8iy-kKSFDxhVaU60GJ2bpXc8tZqI1bT8U0Ac0DWTU/edit?usp=sharing"",""REGISTRATION!C:X""),22,FALSE)
=""I qualify for Free and Reduced Lunch and WOULD like lunch to be provided for my "&amp;"child."",
""Yes"",
""""
),
""""
)"),"Yes")</f>
        <v>Yes</v>
      </c>
      <c r="E138" s="22" t="str">
        <f>IFERROR(__xludf.DUMMYFUNCTION("IFNA(
IF(
VLOOKUP(C138,IMPORTRANGE(""https://docs.google.com/spreadsheets/d/1rG8iy-kKSFDxhVaU60GJ2bpXc8tZqI1bT8U0Ac0DWTU/edit?usp=sharing"",""REGISTRATION!C:AB""),26,FALSE)
=""No"",
""No Candy"",
""""
),
""""
)"),"")</f>
        <v/>
      </c>
      <c r="F138" s="21" t="str">
        <f>IFERROR(__xludf.DUMMYFUNCTION("IFNA(VLOOKUP(C138,IMPORTRANGE(""https://docs.google.com/spreadsheets/d/1rG8iy-kKSFDxhVaU60GJ2bpXc8tZqI1bT8U0Ac0DWTU/edit?usp=sharing"",""REGISTRATION!C:V""),18,FALSE),"""")"),"None")</f>
        <v>None</v>
      </c>
      <c r="G138" s="21" t="str">
        <f>IFERROR(__xludf.DUMMYFUNCTION("IFNA(VLOOKUP(C138,IMPORTRANGE(""https://docs.google.com/spreadsheets/d/1rG8iy-kKSFDxhVaU60GJ2bpXc8tZqI1bT8U0Ac0DWTU/edit?usp=sharing"",""REGISTRATION!C:V""),20,FALSE),"""")"),"")</f>
        <v/>
      </c>
      <c r="H138" s="21" t="str">
        <f>IFERROR(__xludf.DUMMYFUNCTION("IFNA(VLOOKUP(C138,IMPORTRANGE(""https://docs.google.com/spreadsheets/d/1rG8iy-kKSFDxhVaU60GJ2bpXc8tZqI1bT8U0Ac0DWTU/edit?usp=sharing"",""REGISTRATION!C:V""),19,FALSE),"""")"),"None")</f>
        <v>None</v>
      </c>
    </row>
    <row r="139">
      <c r="C139" s="56"/>
      <c r="D139" s="21" t="str">
        <f>IFERROR(__xludf.DUMMYFUNCTION("IFNA(
IF(
VLOOKUP(C139,IMPORTRANGE(""https://docs.google.com/spreadsheets/d/1rG8iy-kKSFDxhVaU60GJ2bpXc8tZqI1bT8U0Ac0DWTU/edit?usp=sharing"",""REGISTRATION!C:X""),22,FALSE)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39" s="22" t="str">
        <f>IFERROR(__xludf.DUMMYFUNCTION("IFNA(
IF(
VLOOKUP(C139,IMPORTRANGE(""https://docs.google.com/spreadsheets/d/1rG8iy-kKSFDxhVaU60GJ2bpXc8tZqI1bT8U0Ac0DWTU/edit?usp=sharing"",""REGISTRATION!C:AB""),26,FALSE)
=""No"",
""No Candy"",
""""
),
""""
)"),"")</f>
        <v/>
      </c>
      <c r="F139" s="21" t="str">
        <f>IFERROR(__xludf.DUMMYFUNCTION("IFNA(VLOOKUP(C139,IMPORTRANGE(""https://docs.google.com/spreadsheets/d/1rG8iy-kKSFDxhVaU60GJ2bpXc8tZqI1bT8U0Ac0DWTU/edit?usp=sharing"",""REGISTRATION!C:V""),18,FALSE),"""")"),"")</f>
        <v/>
      </c>
      <c r="G139" s="21" t="str">
        <f>IFERROR(__xludf.DUMMYFUNCTION("IFNA(VLOOKUP(C139,IMPORTRANGE(""https://docs.google.com/spreadsheets/d/1rG8iy-kKSFDxhVaU60GJ2bpXc8tZqI1bT8U0Ac0DWTU/edit?usp=sharing"",""REGISTRATION!C:V""),20,FALSE),"""")"),"")</f>
        <v/>
      </c>
      <c r="H139" s="21" t="str">
        <f>IFERROR(__xludf.DUMMYFUNCTION("IFNA(VLOOKUP(C139,IMPORTRANGE(""https://docs.google.com/spreadsheets/d/1rG8iy-kKSFDxhVaU60GJ2bpXc8tZqI1bT8U0Ac0DWTU/edit?usp=sharing"",""REGISTRATION!C:V""),19,FALSE),"""")"),"")</f>
        <v/>
      </c>
    </row>
    <row r="140">
      <c r="C140" s="20"/>
      <c r="D140" s="21" t="str">
        <f>IFERROR(__xludf.DUMMYFUNCTION("IFNA(
IF(
VLOOKUP(C140,IMPORTRANGE(""https://docs.google.com/spreadsheets/d/1rG8iy-kKSFDxhVaU60GJ2bpXc8tZqI1bT8U0Ac0DWTU/edit?usp=sharing"",""REGISTRATION!C:X""),22,FALSE)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40" s="22" t="str">
        <f>IFERROR(__xludf.DUMMYFUNCTION("IFNA(
IF(
VLOOKUP(C140,IMPORTRANGE(""https://docs.google.com/spreadsheets/d/1rG8iy-kKSFDxhVaU60GJ2bpXc8tZqI1bT8U0Ac0DWTU/edit?usp=sharing"",""REGISTRATION!C:AB""),26,FALSE)
=""No"",
""No Candy"",
""""
),
""""
)"),"")</f>
        <v/>
      </c>
      <c r="F140" s="21" t="str">
        <f>IFERROR(__xludf.DUMMYFUNCTION("IFNA(VLOOKUP(C140,IMPORTRANGE(""https://docs.google.com/spreadsheets/d/1rG8iy-kKSFDxhVaU60GJ2bpXc8tZqI1bT8U0Ac0DWTU/edit?usp=sharing"",""REGISTRATION!C:V""),18,FALSE),"""")"),"")</f>
        <v/>
      </c>
      <c r="G140" s="21" t="str">
        <f>IFERROR(__xludf.DUMMYFUNCTION("IFNA(VLOOKUP(C140,IMPORTRANGE(""https://docs.google.com/spreadsheets/d/1rG8iy-kKSFDxhVaU60GJ2bpXc8tZqI1bT8U0Ac0DWTU/edit?usp=sharing"",""REGISTRATION!C:V""),20,FALSE),"""")"),"")</f>
        <v/>
      </c>
      <c r="H140" s="21" t="str">
        <f>IFERROR(__xludf.DUMMYFUNCTION("IFNA(VLOOKUP(C140,IMPORTRANGE(""https://docs.google.com/spreadsheets/d/1rG8iy-kKSFDxhVaU60GJ2bpXc8tZqI1bT8U0Ac0DWTU/edit?usp=sharing"",""REGISTRATION!C:V""),19,FALSE),"""")"),"")</f>
        <v/>
      </c>
    </row>
    <row r="141">
      <c r="C141" s="56"/>
      <c r="D141" s="21" t="str">
        <f>IFERROR(__xludf.DUMMYFUNCTION("IFNA(
IF(
VLOOKUP(C141,IMPORTRANGE(""https://docs.google.com/spreadsheets/d/1rG8iy-kKSFDxhVaU60GJ2bpXc8tZqI1bT8U0Ac0DWTU/edit?usp=sharing"",""REGISTRATION!C:X""),22,FALSE)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41" s="22" t="str">
        <f>IFERROR(__xludf.DUMMYFUNCTION("IFNA(
IF(
VLOOKUP(C141,IMPORTRANGE(""https://docs.google.com/spreadsheets/d/1rG8iy-kKSFDxhVaU60GJ2bpXc8tZqI1bT8U0Ac0DWTU/edit?usp=sharing"",""REGISTRATION!C:AB""),26,FALSE)
=""No"",
""No Candy"",
""""
),
""""
)"),"")</f>
        <v/>
      </c>
      <c r="F141" s="21" t="str">
        <f>IFERROR(__xludf.DUMMYFUNCTION("IFNA(VLOOKUP(C141,IMPORTRANGE(""https://docs.google.com/spreadsheets/d/1rG8iy-kKSFDxhVaU60GJ2bpXc8tZqI1bT8U0Ac0DWTU/edit?usp=sharing"",""REGISTRATION!C:V""),18,FALSE),"""")"),"")</f>
        <v/>
      </c>
      <c r="G141" s="21" t="str">
        <f>IFERROR(__xludf.DUMMYFUNCTION("IFNA(VLOOKUP(C141,IMPORTRANGE(""https://docs.google.com/spreadsheets/d/1rG8iy-kKSFDxhVaU60GJ2bpXc8tZqI1bT8U0Ac0DWTU/edit?usp=sharing"",""REGISTRATION!C:V""),20,FALSE),"""")"),"")</f>
        <v/>
      </c>
      <c r="H141" s="21" t="str">
        <f>IFERROR(__xludf.DUMMYFUNCTION("IFNA(VLOOKUP(C141,IMPORTRANGE(""https://docs.google.com/spreadsheets/d/1rG8iy-kKSFDxhVaU60GJ2bpXc8tZqI1bT8U0Ac0DWTU/edit?usp=sharing"",""REGISTRATION!C:V""),19,FALSE),"""")"),"")</f>
        <v/>
      </c>
    </row>
    <row r="142">
      <c r="C142" s="20"/>
      <c r="D142" s="21" t="str">
        <f>IFERROR(__xludf.DUMMYFUNCTION("IFNA(
IF(
VLOOKUP(C142,IMPORTRANGE(""https://docs.google.com/spreadsheets/d/1rG8iy-kKSFDxhVaU60GJ2bpXc8tZqI1bT8U0Ac0DWTU/edit?usp=sharing"",""REGISTRATION!C:X""),22,FALSE)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42" s="22" t="str">
        <f>IFERROR(__xludf.DUMMYFUNCTION("IFNA(
IF(
VLOOKUP(C142,IMPORTRANGE(""https://docs.google.com/spreadsheets/d/1rG8iy-kKSFDxhVaU60GJ2bpXc8tZqI1bT8U0Ac0DWTU/edit?usp=sharing"",""REGISTRATION!C:AB""),26,FALSE)
=""No"",
""No Candy"",
""""
),
""""
)"),"")</f>
        <v/>
      </c>
      <c r="F142" s="21" t="str">
        <f>IFERROR(__xludf.DUMMYFUNCTION("IFNA(VLOOKUP(C142,IMPORTRANGE(""https://docs.google.com/spreadsheets/d/1rG8iy-kKSFDxhVaU60GJ2bpXc8tZqI1bT8U0Ac0DWTU/edit?usp=sharing"",""REGISTRATION!C:V""),18,FALSE),"""")"),"")</f>
        <v/>
      </c>
      <c r="G142" s="21" t="str">
        <f>IFERROR(__xludf.DUMMYFUNCTION("IFNA(VLOOKUP(C142,IMPORTRANGE(""https://docs.google.com/spreadsheets/d/1rG8iy-kKSFDxhVaU60GJ2bpXc8tZqI1bT8U0Ac0DWTU/edit?usp=sharing"",""REGISTRATION!C:V""),20,FALSE),"""")"),"")</f>
        <v/>
      </c>
      <c r="H142" s="21" t="str">
        <f>IFERROR(__xludf.DUMMYFUNCTION("IFNA(VLOOKUP(C142,IMPORTRANGE(""https://docs.google.com/spreadsheets/d/1rG8iy-kKSFDxhVaU60GJ2bpXc8tZqI1bT8U0Ac0DWTU/edit?usp=sharing"",""REGISTRATION!C:V""),19,FALSE),"""")"),"")</f>
        <v/>
      </c>
    </row>
    <row r="143">
      <c r="C143" s="55"/>
      <c r="D143" s="21" t="str">
        <f>IFERROR(__xludf.DUMMYFUNCTION("IFNA(
IF(
VLOOKUP(C143,IMPORTRANGE(""https://docs.google.com/spreadsheets/d/1rG8iy-kKSFDxhVaU60GJ2bpXc8tZqI1bT8U0Ac0DWTU/edit?usp=sharing"",""REGISTRATION!C:X""),22,FALSE)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43" s="22" t="str">
        <f>IFERROR(__xludf.DUMMYFUNCTION("IFNA(
IF(
VLOOKUP(C143,IMPORTRANGE(""https://docs.google.com/spreadsheets/d/1rG8iy-kKSFDxhVaU60GJ2bpXc8tZqI1bT8U0Ac0DWTU/edit?usp=sharing"",""REGISTRATION!C:AB""),26,FALSE)
=""No"",
""No Candy"",
""""
),
""""
)"),"")</f>
        <v/>
      </c>
      <c r="F143" s="21" t="str">
        <f>IFERROR(__xludf.DUMMYFUNCTION("IFNA(VLOOKUP(C143,IMPORTRANGE(""https://docs.google.com/spreadsheets/d/1rG8iy-kKSFDxhVaU60GJ2bpXc8tZqI1bT8U0Ac0DWTU/edit?usp=sharing"",""REGISTRATION!C:V""),18,FALSE),"""")"),"")</f>
        <v/>
      </c>
      <c r="G143" s="21" t="str">
        <f>IFERROR(__xludf.DUMMYFUNCTION("IFNA(VLOOKUP(C143,IMPORTRANGE(""https://docs.google.com/spreadsheets/d/1rG8iy-kKSFDxhVaU60GJ2bpXc8tZqI1bT8U0Ac0DWTU/edit?usp=sharing"",""REGISTRATION!C:V""),20,FALSE),"""")"),"")</f>
        <v/>
      </c>
      <c r="H143" s="21" t="str">
        <f>IFERROR(__xludf.DUMMYFUNCTION("IFNA(VLOOKUP(C143,IMPORTRANGE(""https://docs.google.com/spreadsheets/d/1rG8iy-kKSFDxhVaU60GJ2bpXc8tZqI1bT8U0Ac0DWTU/edit?usp=sharing"",""REGISTRATION!C:V""),19,FALSE),"""")"),"")</f>
        <v/>
      </c>
    </row>
    <row r="144">
      <c r="A144" s="30" t="s">
        <v>252</v>
      </c>
      <c r="B144" s="30" t="s">
        <v>253</v>
      </c>
      <c r="C144" s="31" t="s">
        <v>100</v>
      </c>
      <c r="D144" s="32" t="str">
        <f>IFERROR(__xludf.DUMMYFUNCTION("IFNA(
IF(
VLOOKUP(C144,IMPORTRANGE(""https://docs.google.com/spreadsheets/d/1rG8iy-kKSFDxhVaU60GJ2bpXc8tZqI1bT8U0Ac0DWTU/edit?usp=sharing"",""REGISTRATION!C:X""),22,FALSE)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44" s="33" t="str">
        <f>IFERROR(__xludf.DUMMYFUNCTION("IFNA(
IF(
VLOOKUP(C144,IMPORTRANGE(""https://docs.google.com/spreadsheets/d/1rG8iy-kKSFDxhVaU60GJ2bpXc8tZqI1bT8U0Ac0DWTU/edit?usp=sharing"",""REGISTRATION!C:AB""),26,FALSE)
=""No"",
""No Candy"",
""""
),
""""
)"),"")</f>
        <v/>
      </c>
      <c r="F144" s="32" t="str">
        <f>IFERROR(__xludf.DUMMYFUNCTION("IFNA(VLOOKUP(C144,IMPORTRANGE(""https://docs.google.com/spreadsheets/d/1rG8iy-kKSFDxhVaU60GJ2bpXc8tZqI1bT8U0Ac0DWTU/edit?usp=sharing"",""REGISTRATION!C:V""),18,FALSE),"""")"),"None")</f>
        <v>None</v>
      </c>
      <c r="G144" s="32" t="str">
        <f>IFERROR(__xludf.DUMMYFUNCTION("IFNA(VLOOKUP(C144,IMPORTRANGE(""https://docs.google.com/spreadsheets/d/1rG8iy-kKSFDxhVaU60GJ2bpXc8tZqI1bT8U0Ac0DWTU/edit?usp=sharing"",""REGISTRATION!C:V""),20,FALSE),"""")"),"")</f>
        <v/>
      </c>
      <c r="H144" s="32" t="str">
        <f>IFERROR(__xludf.DUMMYFUNCTION("IFNA(VLOOKUP(C144,IMPORTRANGE(""https://docs.google.com/spreadsheets/d/1rG8iy-kKSFDxhVaU60GJ2bpXc8tZqI1bT8U0Ac0DWTU/edit?usp=sharing"",""REGISTRATION!C:V""),19,FALSE),"""")"),"None")</f>
        <v>None</v>
      </c>
    </row>
    <row r="145">
      <c r="C145" s="31" t="s">
        <v>254</v>
      </c>
      <c r="D145" s="32" t="str">
        <f>IFERROR(__xludf.DUMMYFUNCTION("IFNA(
IF(
VLOOKUP(C145,IMPORTRANGE(""https://docs.google.com/spreadsheets/d/1rG8iy-kKSFDxhVaU60GJ2bpXc8tZqI1bT8U0Ac0DWTU/edit?usp=sharing"",""REGISTRATION!C:X""),22,FALSE)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45" s="33" t="str">
        <f>IFERROR(__xludf.DUMMYFUNCTION("IFNA(
IF(
VLOOKUP(C145,IMPORTRANGE(""https://docs.google.com/spreadsheets/d/1rG8iy-kKSFDxhVaU60GJ2bpXc8tZqI1bT8U0Ac0DWTU/edit?usp=sharing"",""REGISTRATION!C:AB""),26,FALSE)
=""No"",
""No Candy"",
""""
),
""""
)"),"")</f>
        <v/>
      </c>
      <c r="F145" s="32" t="str">
        <f>IFERROR(__xludf.DUMMYFUNCTION("IFNA(VLOOKUP(C145,IMPORTRANGE(""https://docs.google.com/spreadsheets/d/1rG8iy-kKSFDxhVaU60GJ2bpXc8tZqI1bT8U0Ac0DWTU/edit?usp=sharing"",""REGISTRATION!C:V""),18,FALSE),"""")"),"None")</f>
        <v>None</v>
      </c>
      <c r="G145" s="32" t="str">
        <f>IFERROR(__xludf.DUMMYFUNCTION("IFNA(VLOOKUP(C145,IMPORTRANGE(""https://docs.google.com/spreadsheets/d/1rG8iy-kKSFDxhVaU60GJ2bpXc8tZqI1bT8U0Ac0DWTU/edit?usp=sharing"",""REGISTRATION!C:V""),20,FALSE),"""")"),"")</f>
        <v/>
      </c>
      <c r="H145" s="32" t="str">
        <f>IFERROR(__xludf.DUMMYFUNCTION("IFNA(VLOOKUP(C145,IMPORTRANGE(""https://docs.google.com/spreadsheets/d/1rG8iy-kKSFDxhVaU60GJ2bpXc8tZqI1bT8U0Ac0DWTU/edit?usp=sharing"",""REGISTRATION!C:V""),19,FALSE),"""")"),"None")</f>
        <v>None</v>
      </c>
    </row>
    <row r="146">
      <c r="C146" s="31" t="s">
        <v>101</v>
      </c>
      <c r="D146" s="32" t="str">
        <f>IFERROR(__xludf.DUMMYFUNCTION("IFNA(
IF(
VLOOKUP(C146,IMPORTRANGE(""https://docs.google.com/spreadsheets/d/1rG8iy-kKSFDxhVaU60GJ2bpXc8tZqI1bT8U0Ac0DWTU/edit?usp=sharing"",""REGISTRATION!C:X""),22,FALSE)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46" s="33" t="str">
        <f>IFERROR(__xludf.DUMMYFUNCTION("IFNA(
IF(
VLOOKUP(C146,IMPORTRANGE(""https://docs.google.com/spreadsheets/d/1rG8iy-kKSFDxhVaU60GJ2bpXc8tZqI1bT8U0Ac0DWTU/edit?usp=sharing"",""REGISTRATION!C:AB""),26,FALSE)
=""No"",
""No Candy"",
""""
),
""""
)"),"")</f>
        <v/>
      </c>
      <c r="F146" s="32" t="str">
        <f>IFERROR(__xludf.DUMMYFUNCTION("IFNA(VLOOKUP(C146,IMPORTRANGE(""https://docs.google.com/spreadsheets/d/1rG8iy-kKSFDxhVaU60GJ2bpXc8tZqI1bT8U0Ac0DWTU/edit?usp=sharing"",""REGISTRATION!C:V""),18,FALSE),"""")"),"None")</f>
        <v>None</v>
      </c>
      <c r="G146" s="32" t="str">
        <f>IFERROR(__xludf.DUMMYFUNCTION("IFNA(VLOOKUP(C146,IMPORTRANGE(""https://docs.google.com/spreadsheets/d/1rG8iy-kKSFDxhVaU60GJ2bpXc8tZqI1bT8U0Ac0DWTU/edit?usp=sharing"",""REGISTRATION!C:V""),20,FALSE),"""")"),"")</f>
        <v/>
      </c>
      <c r="H146" s="32" t="str">
        <f>IFERROR(__xludf.DUMMYFUNCTION("IFNA(VLOOKUP(C146,IMPORTRANGE(""https://docs.google.com/spreadsheets/d/1rG8iy-kKSFDxhVaU60GJ2bpXc8tZqI1bT8U0Ac0DWTU/edit?usp=sharing"",""REGISTRATION!C:V""),19,FALSE),"""")"),"None")</f>
        <v>None</v>
      </c>
    </row>
    <row r="147">
      <c r="C147" s="31" t="s">
        <v>133</v>
      </c>
      <c r="D147" s="32" t="str">
        <f>IFERROR(__xludf.DUMMYFUNCTION("IFNA(
IF(
VLOOKUP(C147,IMPORTRANGE(""https://docs.google.com/spreadsheets/d/1rG8iy-kKSFDxhVaU60GJ2bpXc8tZqI1bT8U0Ac0DWTU/edit?usp=sharing"",""REGISTRATION!C:X""),22,FALSE)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47" s="33" t="str">
        <f>IFERROR(__xludf.DUMMYFUNCTION("IFNA(
IF(
VLOOKUP(C147,IMPORTRANGE(""https://docs.google.com/spreadsheets/d/1rG8iy-kKSFDxhVaU60GJ2bpXc8tZqI1bT8U0Ac0DWTU/edit?usp=sharing"",""REGISTRATION!C:AB""),26,FALSE)
=""No"",
""No Candy"",
""""
),
""""
)"),"")</f>
        <v/>
      </c>
      <c r="F147" s="32" t="str">
        <f>IFERROR(__xludf.DUMMYFUNCTION("IFNA(VLOOKUP(C147,IMPORTRANGE(""https://docs.google.com/spreadsheets/d/1rG8iy-kKSFDxhVaU60GJ2bpXc8tZqI1bT8U0Ac0DWTU/edit?usp=sharing"",""REGISTRATION!C:V""),18,FALSE),"""")"),"None")</f>
        <v>None</v>
      </c>
      <c r="G147" s="32" t="str">
        <f>IFERROR(__xludf.DUMMYFUNCTION("IFNA(VLOOKUP(C147,IMPORTRANGE(""https://docs.google.com/spreadsheets/d/1rG8iy-kKSFDxhVaU60GJ2bpXc8tZqI1bT8U0Ac0DWTU/edit?usp=sharing"",""REGISTRATION!C:V""),20,FALSE),"""")"),"")</f>
        <v/>
      </c>
      <c r="H147" s="32" t="str">
        <f>IFERROR(__xludf.DUMMYFUNCTION("IFNA(VLOOKUP(C147,IMPORTRANGE(""https://docs.google.com/spreadsheets/d/1rG8iy-kKSFDxhVaU60GJ2bpXc8tZqI1bT8U0Ac0DWTU/edit?usp=sharing"",""REGISTRATION!C:V""),19,FALSE),"""")"),"None")</f>
        <v>None</v>
      </c>
    </row>
    <row r="148">
      <c r="C148" s="31" t="s">
        <v>185</v>
      </c>
      <c r="D148" s="32" t="str">
        <f>IFERROR(__xludf.DUMMYFUNCTION("IFNA(
IF(
VLOOKUP(C148,IMPORTRANGE(""https://docs.google.com/spreadsheets/d/1rG8iy-kKSFDxhVaU60GJ2bpXc8tZqI1bT8U0Ac0DWTU/edit?usp=sharing"",""REGISTRATION!C:X""),22,FALSE)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48" s="33" t="str">
        <f>IFERROR(__xludf.DUMMYFUNCTION("IFNA(
IF(
VLOOKUP(C148,IMPORTRANGE(""https://docs.google.com/spreadsheets/d/1rG8iy-kKSFDxhVaU60GJ2bpXc8tZqI1bT8U0Ac0DWTU/edit?usp=sharing"",""REGISTRATION!C:AB""),26,FALSE)
=""No"",
""No Candy"",
""""
),
""""
)"),"")</f>
        <v/>
      </c>
      <c r="F148" s="32" t="str">
        <f>IFERROR(__xludf.DUMMYFUNCTION("IFNA(VLOOKUP(C148,IMPORTRANGE(""https://docs.google.com/spreadsheets/d/1rG8iy-kKSFDxhVaU60GJ2bpXc8tZqI1bT8U0Ac0DWTU/edit?usp=sharing"",""REGISTRATION!C:V""),18,FALSE),"""")"),"None")</f>
        <v>None</v>
      </c>
      <c r="G148" s="32" t="str">
        <f>IFERROR(__xludf.DUMMYFUNCTION("IFNA(VLOOKUP(C148,IMPORTRANGE(""https://docs.google.com/spreadsheets/d/1rG8iy-kKSFDxhVaU60GJ2bpXc8tZqI1bT8U0Ac0DWTU/edit?usp=sharing"",""REGISTRATION!C:V""),20,FALSE),"""")"),"")</f>
        <v/>
      </c>
      <c r="H148" s="32" t="str">
        <f>IFERROR(__xludf.DUMMYFUNCTION("IFNA(VLOOKUP(C148,IMPORTRANGE(""https://docs.google.com/spreadsheets/d/1rG8iy-kKSFDxhVaU60GJ2bpXc8tZqI1bT8U0Ac0DWTU/edit?usp=sharing"",""REGISTRATION!C:V""),19,FALSE),"""")"),"None")</f>
        <v>None</v>
      </c>
    </row>
    <row r="149">
      <c r="C149" s="31" t="s">
        <v>105</v>
      </c>
      <c r="D149" s="32" t="str">
        <f>IFERROR(__xludf.DUMMYFUNCTION("IFNA(
IF(
VLOOKUP(C149,IMPORTRANGE(""https://docs.google.com/spreadsheets/d/1rG8iy-kKSFDxhVaU60GJ2bpXc8tZqI1bT8U0Ac0DWTU/edit?usp=sharing"",""REGISTRATION!C:X""),22,FALSE)
=""I qualify for Free and Reduced Lunch and WOULD like lunch to be provided for my "&amp;"child."",
""Yes"",
""""
),
""""
)"),"Yes")</f>
        <v>Yes</v>
      </c>
      <c r="E149" s="33" t="str">
        <f>IFERROR(__xludf.DUMMYFUNCTION("IFNA(
IF(
VLOOKUP(C149,IMPORTRANGE(""https://docs.google.com/spreadsheets/d/1rG8iy-kKSFDxhVaU60GJ2bpXc8tZqI1bT8U0Ac0DWTU/edit?usp=sharing"",""REGISTRATION!C:AB""),26,FALSE)
=""No"",
""No Candy"",
""""
),
""""
)"),"")</f>
        <v/>
      </c>
      <c r="F149" s="32" t="str">
        <f>IFERROR(__xludf.DUMMYFUNCTION("IFNA(VLOOKUP(C149,IMPORTRANGE(""https://docs.google.com/spreadsheets/d/1rG8iy-kKSFDxhVaU60GJ2bpXc8tZqI1bT8U0Ac0DWTU/edit?usp=sharing"",""REGISTRATION!C:V""),18,FALSE),"""")"),"None")</f>
        <v>None</v>
      </c>
      <c r="G149" s="32" t="str">
        <f>IFERROR(__xludf.DUMMYFUNCTION("IFNA(VLOOKUP(C149,IMPORTRANGE(""https://docs.google.com/spreadsheets/d/1rG8iy-kKSFDxhVaU60GJ2bpXc8tZqI1bT8U0Ac0DWTU/edit?usp=sharing"",""REGISTRATION!C:V""),20,FALSE),"""")"),"")</f>
        <v/>
      </c>
      <c r="H149" s="32" t="str">
        <f>IFERROR(__xludf.DUMMYFUNCTION("IFNA(VLOOKUP(C149,IMPORTRANGE(""https://docs.google.com/spreadsheets/d/1rG8iy-kKSFDxhVaU60GJ2bpXc8tZqI1bT8U0Ac0DWTU/edit?usp=sharing"",""REGISTRATION!C:V""),19,FALSE),"""")"),"None")</f>
        <v>None</v>
      </c>
    </row>
    <row r="150">
      <c r="C150" s="31" t="s">
        <v>106</v>
      </c>
      <c r="D150" s="32" t="str">
        <f>IFERROR(__xludf.DUMMYFUNCTION("IFNA(
IF(
VLOOKUP(C150,IMPORTRANGE(""https://docs.google.com/spreadsheets/d/1rG8iy-kKSFDxhVaU60GJ2bpXc8tZqI1bT8U0Ac0DWTU/edit?usp=sharing"",""REGISTRATION!C:X""),22,FALSE)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50" s="33" t="str">
        <f>IFERROR(__xludf.DUMMYFUNCTION("IFNA(
IF(
VLOOKUP(C150,IMPORTRANGE(""https://docs.google.com/spreadsheets/d/1rG8iy-kKSFDxhVaU60GJ2bpXc8tZqI1bT8U0Ac0DWTU/edit?usp=sharing"",""REGISTRATION!C:AB""),26,FALSE)
=""No"",
""No Candy"",
""""
),
""""
)"),"No Candy")</f>
        <v>No Candy</v>
      </c>
      <c r="F150" s="32" t="str">
        <f>IFERROR(__xludf.DUMMYFUNCTION("IFNA(VLOOKUP(C150,IMPORTRANGE(""https://docs.google.com/spreadsheets/d/1rG8iy-kKSFDxhVaU60GJ2bpXc8tZqI1bT8U0Ac0DWTU/edit?usp=sharing"",""REGISTRATION!C:V""),18,FALSE),"""")"),"None")</f>
        <v>None</v>
      </c>
      <c r="G150" s="32" t="str">
        <f>IFERROR(__xludf.DUMMYFUNCTION("IFNA(VLOOKUP(C150,IMPORTRANGE(""https://docs.google.com/spreadsheets/d/1rG8iy-kKSFDxhVaU60GJ2bpXc8tZqI1bT8U0Ac0DWTU/edit?usp=sharing"",""REGISTRATION!C:V""),20,FALSE),"""")"),"")</f>
        <v/>
      </c>
      <c r="H150" s="32" t="str">
        <f>IFERROR(__xludf.DUMMYFUNCTION("IFNA(VLOOKUP(C150,IMPORTRANGE(""https://docs.google.com/spreadsheets/d/1rG8iy-kKSFDxhVaU60GJ2bpXc8tZqI1bT8U0Ac0DWTU/edit?usp=sharing"",""REGISTRATION!C:V""),19,FALSE),"""")"),"None")</f>
        <v>None</v>
      </c>
    </row>
    <row r="151">
      <c r="C151" s="31" t="s">
        <v>192</v>
      </c>
      <c r="D151" s="32" t="str">
        <f>IFERROR(__xludf.DUMMYFUNCTION("IFNA(
IF(
VLOOKUP(C151,IMPORTRANGE(""https://docs.google.com/spreadsheets/d/1rG8iy-kKSFDxhVaU60GJ2bpXc8tZqI1bT8U0Ac0DWTU/edit?usp=sharing"",""REGISTRATION!C:X""),22,FALSE)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51" s="33" t="str">
        <f>IFERROR(__xludf.DUMMYFUNCTION("IFNA(
IF(
VLOOKUP(C151,IMPORTRANGE(""https://docs.google.com/spreadsheets/d/1rG8iy-kKSFDxhVaU60GJ2bpXc8tZqI1bT8U0Ac0DWTU/edit?usp=sharing"",""REGISTRATION!C:AB""),26,FALSE)
=""No"",
""No Candy"",
""""
),
""""
)"),"")</f>
        <v/>
      </c>
      <c r="F151" s="32" t="str">
        <f>IFERROR(__xludf.DUMMYFUNCTION("IFNA(VLOOKUP(C151,IMPORTRANGE(""https://docs.google.com/spreadsheets/d/1rG8iy-kKSFDxhVaU60GJ2bpXc8tZqI1bT8U0Ac0DWTU/edit?usp=sharing"",""REGISTRATION!C:V""),18,FALSE),"""")"),"None")</f>
        <v>None</v>
      </c>
      <c r="G151" s="32" t="str">
        <f>IFERROR(__xludf.DUMMYFUNCTION("IFNA(VLOOKUP(C151,IMPORTRANGE(""https://docs.google.com/spreadsheets/d/1rG8iy-kKSFDxhVaU60GJ2bpXc8tZqI1bT8U0Ac0DWTU/edit?usp=sharing"",""REGISTRATION!C:V""),20,FALSE),"""")"),"")</f>
        <v/>
      </c>
      <c r="H151" s="32" t="str">
        <f>IFERROR(__xludf.DUMMYFUNCTION("IFNA(VLOOKUP(C151,IMPORTRANGE(""https://docs.google.com/spreadsheets/d/1rG8iy-kKSFDxhVaU60GJ2bpXc8tZqI1bT8U0Ac0DWTU/edit?usp=sharing"",""REGISTRATION!C:V""),19,FALSE),"""")"),"ADHD, takes medication")</f>
        <v>ADHD, takes medication</v>
      </c>
    </row>
    <row r="152">
      <c r="C152" s="31" t="s">
        <v>110</v>
      </c>
      <c r="D152" s="32" t="str">
        <f>IFERROR(__xludf.DUMMYFUNCTION("IFNA(
IF(
VLOOKUP(C152,IMPORTRANGE(""https://docs.google.com/spreadsheets/d/1rG8iy-kKSFDxhVaU60GJ2bpXc8tZqI1bT8U0Ac0DWTU/edit?usp=sharing"",""REGISTRATION!C:X""),22,FALSE)
=""I qualify for Free and Reduced Lunch and WOULD like lunch to be provided for my "&amp;"child."",
""Yes"",
""""
),
""""
)"),"Yes")</f>
        <v>Yes</v>
      </c>
      <c r="E152" s="33" t="str">
        <f>IFERROR(__xludf.DUMMYFUNCTION("IFNA(
IF(
VLOOKUP(C152,IMPORTRANGE(""https://docs.google.com/spreadsheets/d/1rG8iy-kKSFDxhVaU60GJ2bpXc8tZqI1bT8U0Ac0DWTU/edit?usp=sharing"",""REGISTRATION!C:AB""),26,FALSE)
=""No"",
""No Candy"",
""""
),
""""
)"),"")</f>
        <v/>
      </c>
      <c r="F152" s="32" t="str">
        <f>IFERROR(__xludf.DUMMYFUNCTION("IFNA(VLOOKUP(C152,IMPORTRANGE(""https://docs.google.com/spreadsheets/d/1rG8iy-kKSFDxhVaU60GJ2bpXc8tZqI1bT8U0Ac0DWTU/edit?usp=sharing"",""REGISTRATION!C:V""),18,FALSE),"""")"),"Vegeterian. Egg is ok.")</f>
        <v>Vegeterian. Egg is ok.</v>
      </c>
      <c r="G152" s="32" t="str">
        <f>IFERROR(__xludf.DUMMYFUNCTION("IFNA(VLOOKUP(C152,IMPORTRANGE(""https://docs.google.com/spreadsheets/d/1rG8iy-kKSFDxhVaU60GJ2bpXc8tZqI1bT8U0Ac0DWTU/edit?usp=sharing"",""REGISTRATION!C:V""),20,FALSE),"""")"),"")</f>
        <v/>
      </c>
      <c r="H152" s="32" t="str">
        <f>IFERROR(__xludf.DUMMYFUNCTION("IFNA(VLOOKUP(C152,IMPORTRANGE(""https://docs.google.com/spreadsheets/d/1rG8iy-kKSFDxhVaU60GJ2bpXc8tZqI1bT8U0Ac0DWTU/edit?usp=sharing"",""REGISTRATION!C:V""),19,FALSE),"""")"),"None")</f>
        <v>None</v>
      </c>
    </row>
    <row r="153">
      <c r="C153" s="31" t="s">
        <v>255</v>
      </c>
      <c r="D153" s="32" t="str">
        <f>IFERROR(__xludf.DUMMYFUNCTION("IFNA(
IF(
VLOOKUP(C153,IMPORTRANGE(""https://docs.google.com/spreadsheets/d/1rG8iy-kKSFDxhVaU60GJ2bpXc8tZqI1bT8U0Ac0DWTU/edit?usp=sharing"",""REGISTRATION!C:X""),22,FALSE)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53" s="33" t="str">
        <f>IFERROR(__xludf.DUMMYFUNCTION("IFNA(
IF(
VLOOKUP(C153,IMPORTRANGE(""https://docs.google.com/spreadsheets/d/1rG8iy-kKSFDxhVaU60GJ2bpXc8tZqI1bT8U0Ac0DWTU/edit?usp=sharing"",""REGISTRATION!C:AB""),26,FALSE)
=""No"",
""No Candy"",
""""
),
""""
)"),"")</f>
        <v/>
      </c>
      <c r="F153" s="32" t="str">
        <f>IFERROR(__xludf.DUMMYFUNCTION("IFNA(VLOOKUP(C153,IMPORTRANGE(""https://docs.google.com/spreadsheets/d/1rG8iy-kKSFDxhVaU60GJ2bpXc8tZqI1bT8U0Ac0DWTU/edit?usp=sharing"",""REGISTRATION!C:V""),18,FALSE),"""")"),"None")</f>
        <v>None</v>
      </c>
      <c r="G153" s="32" t="str">
        <f>IFERROR(__xludf.DUMMYFUNCTION("IFNA(VLOOKUP(C153,IMPORTRANGE(""https://docs.google.com/spreadsheets/d/1rG8iy-kKSFDxhVaU60GJ2bpXc8tZqI1bT8U0Ac0DWTU/edit?usp=sharing"",""REGISTRATION!C:V""),20,FALSE),"""")"),"")</f>
        <v/>
      </c>
      <c r="H153" s="32" t="str">
        <f>IFERROR(__xludf.DUMMYFUNCTION("IFNA(VLOOKUP(C153,IMPORTRANGE(""https://docs.google.com/spreadsheets/d/1rG8iy-kKSFDxhVaU60GJ2bpXc8tZqI1bT8U0Ac0DWTU/edit?usp=sharing"",""REGISTRATION!C:V""),19,FALSE),"""")"),"None")</f>
        <v>None</v>
      </c>
    </row>
    <row r="154">
      <c r="C154" s="31" t="s">
        <v>117</v>
      </c>
      <c r="D154" s="32" t="str">
        <f>IFERROR(__xludf.DUMMYFUNCTION("IFNA(
IF(
VLOOKUP(C154,IMPORTRANGE(""https://docs.google.com/spreadsheets/d/1rG8iy-kKSFDxhVaU60GJ2bpXc8tZqI1bT8U0Ac0DWTU/edit?usp=sharing"",""REGISTRATION!C:X""),22,FALSE)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54" s="33" t="str">
        <f>IFERROR(__xludf.DUMMYFUNCTION("IFNA(
IF(
VLOOKUP(C154,IMPORTRANGE(""https://docs.google.com/spreadsheets/d/1rG8iy-kKSFDxhVaU60GJ2bpXc8tZqI1bT8U0Ac0DWTU/edit?usp=sharing"",""REGISTRATION!C:AB""),26,FALSE)
=""No"",
""No Candy"",
""""
),
""""
)"),"")</f>
        <v/>
      </c>
      <c r="F154" s="32" t="str">
        <f>IFERROR(__xludf.DUMMYFUNCTION("IFNA(VLOOKUP(C154,IMPORTRANGE(""https://docs.google.com/spreadsheets/d/1rG8iy-kKSFDxhVaU60GJ2bpXc8tZqI1bT8U0Ac0DWTU/edit?usp=sharing"",""REGISTRATION!C:V""),18,FALSE),"""")"),"None")</f>
        <v>None</v>
      </c>
      <c r="G154" s="32" t="str">
        <f>IFERROR(__xludf.DUMMYFUNCTION("IFNA(VLOOKUP(C154,IMPORTRANGE(""https://docs.google.com/spreadsheets/d/1rG8iy-kKSFDxhVaU60GJ2bpXc8tZqI1bT8U0Ac0DWTU/edit?usp=sharing"",""REGISTRATION!C:V""),20,FALSE),"""")"),"")</f>
        <v/>
      </c>
      <c r="H154" s="32" t="str">
        <f>IFERROR(__xludf.DUMMYFUNCTION("IFNA(VLOOKUP(C154,IMPORTRANGE(""https://docs.google.com/spreadsheets/d/1rG8iy-kKSFDxhVaU60GJ2bpXc8tZqI1bT8U0Ac0DWTU/edit?usp=sharing"",""REGISTRATION!C:V""),19,FALSE),"""")"),"None")</f>
        <v>None</v>
      </c>
    </row>
    <row r="155">
      <c r="C155" s="70"/>
      <c r="D155" s="32" t="str">
        <f>IFERROR(__xludf.DUMMYFUNCTION("IFNA(
IF(
VLOOKUP(C155,IMPORTRANGE(""https://docs.google.com/spreadsheets/d/1rG8iy-kKSFDxhVaU60GJ2bpXc8tZqI1bT8U0Ac0DWTU/edit?usp=sharing"",""REGISTRATION!C:X""),22,FALSE)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55" s="33" t="str">
        <f>IFERROR(__xludf.DUMMYFUNCTION("IFNA(
IF(
VLOOKUP(C155,IMPORTRANGE(""https://docs.google.com/spreadsheets/d/1rG8iy-kKSFDxhVaU60GJ2bpXc8tZqI1bT8U0Ac0DWTU/edit?usp=sharing"",""REGISTRATION!C:AB""),26,FALSE)
=""No"",
""No Candy"",
""""
),
""""
)"),"")</f>
        <v/>
      </c>
      <c r="F155" s="32" t="str">
        <f>IFERROR(__xludf.DUMMYFUNCTION("IFNA(VLOOKUP(C155,IMPORTRANGE(""https://docs.google.com/spreadsheets/d/1rG8iy-kKSFDxhVaU60GJ2bpXc8tZqI1bT8U0Ac0DWTU/edit?usp=sharing"",""REGISTRATION!C:V""),18,FALSE),"""")"),"")</f>
        <v/>
      </c>
      <c r="G155" s="32" t="str">
        <f>IFERROR(__xludf.DUMMYFUNCTION("IFNA(VLOOKUP(C155,IMPORTRANGE(""https://docs.google.com/spreadsheets/d/1rG8iy-kKSFDxhVaU60GJ2bpXc8tZqI1bT8U0Ac0DWTU/edit?usp=sharing"",""REGISTRATION!C:V""),20,FALSE),"""")"),"")</f>
        <v/>
      </c>
      <c r="H155" s="32" t="str">
        <f>IFERROR(__xludf.DUMMYFUNCTION("IFNA(VLOOKUP(C155,IMPORTRANGE(""https://docs.google.com/spreadsheets/d/1rG8iy-kKSFDxhVaU60GJ2bpXc8tZqI1bT8U0Ac0DWTU/edit?usp=sharing"",""REGISTRATION!C:V""),19,FALSE),"""")"),"")</f>
        <v/>
      </c>
    </row>
    <row r="156">
      <c r="C156" s="31"/>
      <c r="D156" s="32" t="str">
        <f>IFERROR(__xludf.DUMMYFUNCTION("IFNA(
IF(
VLOOKUP(C156,IMPORTRANGE(""https://docs.google.com/spreadsheets/d/1rG8iy-kKSFDxhVaU60GJ2bpXc8tZqI1bT8U0Ac0DWTU/edit?usp=sharing"",""REGISTRATION!C:X""),22,FALSE)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56" s="33" t="str">
        <f>IFERROR(__xludf.DUMMYFUNCTION("IFNA(
IF(
VLOOKUP(C156,IMPORTRANGE(""https://docs.google.com/spreadsheets/d/1rG8iy-kKSFDxhVaU60GJ2bpXc8tZqI1bT8U0Ac0DWTU/edit?usp=sharing"",""REGISTRATION!C:AB""),26,FALSE)
=""No"",
""No Candy"",
""""
),
""""
)"),"")</f>
        <v/>
      </c>
      <c r="F156" s="32" t="str">
        <f>IFERROR(__xludf.DUMMYFUNCTION("IFNA(VLOOKUP(C156,IMPORTRANGE(""https://docs.google.com/spreadsheets/d/1rG8iy-kKSFDxhVaU60GJ2bpXc8tZqI1bT8U0Ac0DWTU/edit?usp=sharing"",""REGISTRATION!C:V""),18,FALSE),"""")"),"")</f>
        <v/>
      </c>
      <c r="G156" s="32" t="str">
        <f>IFERROR(__xludf.DUMMYFUNCTION("IFNA(VLOOKUP(C156,IMPORTRANGE(""https://docs.google.com/spreadsheets/d/1rG8iy-kKSFDxhVaU60GJ2bpXc8tZqI1bT8U0Ac0DWTU/edit?usp=sharing"",""REGISTRATION!C:V""),20,FALSE),"""")"),"")</f>
        <v/>
      </c>
      <c r="H156" s="32" t="str">
        <f>IFERROR(__xludf.DUMMYFUNCTION("IFNA(VLOOKUP(C156,IMPORTRANGE(""https://docs.google.com/spreadsheets/d/1rG8iy-kKSFDxhVaU60GJ2bpXc8tZqI1bT8U0Ac0DWTU/edit?usp=sharing"",""REGISTRATION!C:V""),19,FALSE),"""")"),"")</f>
        <v/>
      </c>
    </row>
    <row r="157">
      <c r="C157" s="31"/>
      <c r="D157" s="32" t="str">
        <f>IFERROR(__xludf.DUMMYFUNCTION("IFNA(
IF(
VLOOKUP(C157,IMPORTRANGE(""https://docs.google.com/spreadsheets/d/1rG8iy-kKSFDxhVaU60GJ2bpXc8tZqI1bT8U0Ac0DWTU/edit?usp=sharing"",""REGISTRATION!C:X""),22,FALSE)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57" s="33" t="str">
        <f>IFERROR(__xludf.DUMMYFUNCTION("IFNA(
IF(
VLOOKUP(C157,IMPORTRANGE(""https://docs.google.com/spreadsheets/d/1rG8iy-kKSFDxhVaU60GJ2bpXc8tZqI1bT8U0Ac0DWTU/edit?usp=sharing"",""REGISTRATION!C:AB""),26,FALSE)
=""No"",
""No Candy"",
""""
),
""""
)"),"")</f>
        <v/>
      </c>
      <c r="F157" s="32" t="str">
        <f>IFERROR(__xludf.DUMMYFUNCTION("IFNA(VLOOKUP(C157,IMPORTRANGE(""https://docs.google.com/spreadsheets/d/1rG8iy-kKSFDxhVaU60GJ2bpXc8tZqI1bT8U0Ac0DWTU/edit?usp=sharing"",""REGISTRATION!C:V""),18,FALSE),"""")"),"")</f>
        <v/>
      </c>
      <c r="G157" s="32" t="str">
        <f>IFERROR(__xludf.DUMMYFUNCTION("IFNA(VLOOKUP(C157,IMPORTRANGE(""https://docs.google.com/spreadsheets/d/1rG8iy-kKSFDxhVaU60GJ2bpXc8tZqI1bT8U0Ac0DWTU/edit?usp=sharing"",""REGISTRATION!C:V""),20,FALSE),"""")"),"")</f>
        <v/>
      </c>
      <c r="H157" s="32" t="str">
        <f>IFERROR(__xludf.DUMMYFUNCTION("IFNA(VLOOKUP(C157,IMPORTRANGE(""https://docs.google.com/spreadsheets/d/1rG8iy-kKSFDxhVaU60GJ2bpXc8tZqI1bT8U0Ac0DWTU/edit?usp=sharing"",""REGISTRATION!C:V""),19,FALSE),"""")"),"")</f>
        <v/>
      </c>
    </row>
    <row r="158">
      <c r="C158" s="31"/>
      <c r="D158" s="32" t="str">
        <f>IFERROR(__xludf.DUMMYFUNCTION("IFNA(
IF(
VLOOKUP(C158,IMPORTRANGE(""https://docs.google.com/spreadsheets/d/1rG8iy-kKSFDxhVaU60GJ2bpXc8tZqI1bT8U0Ac0DWTU/edit?usp=sharing"",""REGISTRATION!C:X""),22,FALSE)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58" s="33" t="str">
        <f>IFERROR(__xludf.DUMMYFUNCTION("IFNA(
IF(
VLOOKUP(C158,IMPORTRANGE(""https://docs.google.com/spreadsheets/d/1rG8iy-kKSFDxhVaU60GJ2bpXc8tZqI1bT8U0Ac0DWTU/edit?usp=sharing"",""REGISTRATION!C:AB""),26,FALSE)
=""No"",
""No Candy"",
""""
),
""""
)"),"")</f>
        <v/>
      </c>
      <c r="F158" s="32" t="str">
        <f>IFERROR(__xludf.DUMMYFUNCTION("IFNA(VLOOKUP(C158,IMPORTRANGE(""https://docs.google.com/spreadsheets/d/1rG8iy-kKSFDxhVaU60GJ2bpXc8tZqI1bT8U0Ac0DWTU/edit?usp=sharing"",""REGISTRATION!C:V""),18,FALSE),"""")"),"")</f>
        <v/>
      </c>
      <c r="G158" s="32" t="str">
        <f>IFERROR(__xludf.DUMMYFUNCTION("IFNA(VLOOKUP(C158,IMPORTRANGE(""https://docs.google.com/spreadsheets/d/1rG8iy-kKSFDxhVaU60GJ2bpXc8tZqI1bT8U0Ac0DWTU/edit?usp=sharing"",""REGISTRATION!C:V""),20,FALSE),"""")"),"")</f>
        <v/>
      </c>
      <c r="H158" s="32" t="str">
        <f>IFERROR(__xludf.DUMMYFUNCTION("IFNA(VLOOKUP(C158,IMPORTRANGE(""https://docs.google.com/spreadsheets/d/1rG8iy-kKSFDxhVaU60GJ2bpXc8tZqI1bT8U0Ac0DWTU/edit?usp=sharing"",""REGISTRATION!C:V""),19,FALSE),"""")"),"")</f>
        <v/>
      </c>
    </row>
    <row r="159">
      <c r="C159" s="31"/>
      <c r="D159" s="32" t="str">
        <f>IFERROR(__xludf.DUMMYFUNCTION("IFNA(
IF(
VLOOKUP(C159,IMPORTRANGE(""https://docs.google.com/spreadsheets/d/1rG8iy-kKSFDxhVaU60GJ2bpXc8tZqI1bT8U0Ac0DWTU/edit?usp=sharing"",""REGISTRATION!C:X""),22,FALSE)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59" s="33" t="str">
        <f>IFERROR(__xludf.DUMMYFUNCTION("IFNA(
IF(
VLOOKUP(C159,IMPORTRANGE(""https://docs.google.com/spreadsheets/d/1rG8iy-kKSFDxhVaU60GJ2bpXc8tZqI1bT8U0Ac0DWTU/edit?usp=sharing"",""REGISTRATION!C:AB""),26,FALSE)
=""No"",
""No Candy"",
""""
),
""""
)"),"")</f>
        <v/>
      </c>
      <c r="F159" s="32" t="str">
        <f>IFERROR(__xludf.DUMMYFUNCTION("IFNA(VLOOKUP(C159,IMPORTRANGE(""https://docs.google.com/spreadsheets/d/1rG8iy-kKSFDxhVaU60GJ2bpXc8tZqI1bT8U0Ac0DWTU/edit?usp=sharing"",""REGISTRATION!C:V""),18,FALSE),"""")"),"")</f>
        <v/>
      </c>
      <c r="G159" s="32" t="str">
        <f>IFERROR(__xludf.DUMMYFUNCTION("IFNA(VLOOKUP(C159,IMPORTRANGE(""https://docs.google.com/spreadsheets/d/1rG8iy-kKSFDxhVaU60GJ2bpXc8tZqI1bT8U0Ac0DWTU/edit?usp=sharing"",""REGISTRATION!C:V""),20,FALSE),"""")"),"")</f>
        <v/>
      </c>
      <c r="H159" s="32" t="str">
        <f>IFERROR(__xludf.DUMMYFUNCTION("IFNA(VLOOKUP(C159,IMPORTRANGE(""https://docs.google.com/spreadsheets/d/1rG8iy-kKSFDxhVaU60GJ2bpXc8tZqI1bT8U0Ac0DWTU/edit?usp=sharing"",""REGISTRATION!C:V""),19,FALSE),"""")"),"")</f>
        <v/>
      </c>
    </row>
    <row r="160">
      <c r="D160" s="32" t="str">
        <f>IFERROR(__xludf.DUMMYFUNCTION("IFNA(
IF(
VLOOKUP(C160,IMPORTRANGE(""https://docs.google.com/spreadsheets/d/1rG8iy-kKSFDxhVaU60GJ2bpXc8tZqI1bT8U0Ac0DWTU/edit?usp=sharing"",""REGISTRATION!C:X""),22,FALSE)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60" s="33" t="str">
        <f>IFERROR(__xludf.DUMMYFUNCTION("IFNA(
IF(
VLOOKUP(C160,IMPORTRANGE(""https://docs.google.com/spreadsheets/d/1rG8iy-kKSFDxhVaU60GJ2bpXc8tZqI1bT8U0Ac0DWTU/edit?usp=sharing"",""REGISTRATION!C:AB""),26,FALSE)
=""No"",
""No Candy"",
""""
),
""""
)"),"")</f>
        <v/>
      </c>
      <c r="F160" s="32" t="str">
        <f>IFERROR(__xludf.DUMMYFUNCTION("IFNA(VLOOKUP(C160,IMPORTRANGE(""https://docs.google.com/spreadsheets/d/1rG8iy-kKSFDxhVaU60GJ2bpXc8tZqI1bT8U0Ac0DWTU/edit?usp=sharing"",""REGISTRATION!C:V""),18,FALSE),"""")"),"")</f>
        <v/>
      </c>
      <c r="G160" s="32" t="str">
        <f>IFERROR(__xludf.DUMMYFUNCTION("IFNA(VLOOKUP(C160,IMPORTRANGE(""https://docs.google.com/spreadsheets/d/1rG8iy-kKSFDxhVaU60GJ2bpXc8tZqI1bT8U0Ac0DWTU/edit?usp=sharing"",""REGISTRATION!C:V""),20,FALSE),"""")"),"")</f>
        <v/>
      </c>
      <c r="H160" s="32" t="str">
        <f>IFERROR(__xludf.DUMMYFUNCTION("IFNA(VLOOKUP(C160,IMPORTRANGE(""https://docs.google.com/spreadsheets/d/1rG8iy-kKSFDxhVaU60GJ2bpXc8tZqI1bT8U0Ac0DWTU/edit?usp=sharing"",""REGISTRATION!C:V""),19,FALSE),"""")"),"")</f>
        <v/>
      </c>
    </row>
    <row r="161">
      <c r="D161" s="32" t="str">
        <f>IFERROR(__xludf.DUMMYFUNCTION("IFNA(
IF(
VLOOKUP(C161,IMPORTRANGE(""https://docs.google.com/spreadsheets/d/1rG8iy-kKSFDxhVaU60GJ2bpXc8tZqI1bT8U0Ac0DWTU/edit?usp=sharing"",""REGISTRATION!C:X""),22,FALSE)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61" s="33" t="str">
        <f>IFERROR(__xludf.DUMMYFUNCTION("IFNA(
IF(
VLOOKUP(C161,IMPORTRANGE(""https://docs.google.com/spreadsheets/d/1rG8iy-kKSFDxhVaU60GJ2bpXc8tZqI1bT8U0Ac0DWTU/edit?usp=sharing"",""REGISTRATION!C:AB""),26,FALSE)
=""No"",
""No Candy"",
""""
),
""""
)"),"")</f>
        <v/>
      </c>
      <c r="F161" s="32" t="str">
        <f>IFERROR(__xludf.DUMMYFUNCTION("IFNA(VLOOKUP(C161,IMPORTRANGE(""https://docs.google.com/spreadsheets/d/1rG8iy-kKSFDxhVaU60GJ2bpXc8tZqI1bT8U0Ac0DWTU/edit?usp=sharing"",""REGISTRATION!C:V""),18,FALSE),"""")"),"")</f>
        <v/>
      </c>
      <c r="G161" s="32" t="str">
        <f>IFERROR(__xludf.DUMMYFUNCTION("IFNA(VLOOKUP(C161,IMPORTRANGE(""https://docs.google.com/spreadsheets/d/1rG8iy-kKSFDxhVaU60GJ2bpXc8tZqI1bT8U0Ac0DWTU/edit?usp=sharing"",""REGISTRATION!C:V""),20,FALSE),"""")"),"")</f>
        <v/>
      </c>
      <c r="H161" s="32" t="str">
        <f>IFERROR(__xludf.DUMMYFUNCTION("IFNA(VLOOKUP(C161,IMPORTRANGE(""https://docs.google.com/spreadsheets/d/1rG8iy-kKSFDxhVaU60GJ2bpXc8tZqI1bT8U0Ac0DWTU/edit?usp=sharing"",""REGISTRATION!C:V""),19,FALSE),"""")"),"")</f>
        <v/>
      </c>
    </row>
    <row r="162">
      <c r="D162" s="32" t="str">
        <f>IFERROR(__xludf.DUMMYFUNCTION("IFNA(
IF(
VLOOKUP(C162,IMPORTRANGE(""https://docs.google.com/spreadsheets/d/1rG8iy-kKSFDxhVaU60GJ2bpXc8tZqI1bT8U0Ac0DWTU/edit?usp=sharing"",""REGISTRATION!C:X""),22,FALSE)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62" s="33" t="str">
        <f>IFERROR(__xludf.DUMMYFUNCTION("IFNA(
IF(
VLOOKUP(C162,IMPORTRANGE(""https://docs.google.com/spreadsheets/d/1rG8iy-kKSFDxhVaU60GJ2bpXc8tZqI1bT8U0Ac0DWTU/edit?usp=sharing"",""REGISTRATION!C:AB""),26,FALSE)
=""No"",
""No Candy"",
""""
),
""""
)"),"")</f>
        <v/>
      </c>
      <c r="F162" s="32" t="str">
        <f>IFERROR(__xludf.DUMMYFUNCTION("IFNA(VLOOKUP(C162,IMPORTRANGE(""https://docs.google.com/spreadsheets/d/1rG8iy-kKSFDxhVaU60GJ2bpXc8tZqI1bT8U0Ac0DWTU/edit?usp=sharing"",""REGISTRATION!C:V""),18,FALSE),"""")"),"")</f>
        <v/>
      </c>
      <c r="G162" s="32" t="str">
        <f>IFERROR(__xludf.DUMMYFUNCTION("IFNA(VLOOKUP(C162,IMPORTRANGE(""https://docs.google.com/spreadsheets/d/1rG8iy-kKSFDxhVaU60GJ2bpXc8tZqI1bT8U0Ac0DWTU/edit?usp=sharing"",""REGISTRATION!C:V""),20,FALSE),"""")"),"")</f>
        <v/>
      </c>
      <c r="H162" s="32" t="str">
        <f>IFERROR(__xludf.DUMMYFUNCTION("IFNA(VLOOKUP(C162,IMPORTRANGE(""https://docs.google.com/spreadsheets/d/1rG8iy-kKSFDxhVaU60GJ2bpXc8tZqI1bT8U0Ac0DWTU/edit?usp=sharing"",""REGISTRATION!C:V""),19,FALSE),"""")"),"")</f>
        <v/>
      </c>
    </row>
    <row r="163">
      <c r="D163" s="32" t="str">
        <f>IFERROR(__xludf.DUMMYFUNCTION("IFNA(
IF(
VLOOKUP(C163,IMPORTRANGE(""https://docs.google.com/spreadsheets/d/1rG8iy-kKSFDxhVaU60GJ2bpXc8tZqI1bT8U0Ac0DWTU/edit?usp=sharing"",""REGISTRATION!C:X""),22,FALSE)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63" s="33" t="str">
        <f>IFERROR(__xludf.DUMMYFUNCTION("IFNA(
IF(
VLOOKUP(C163,IMPORTRANGE(""https://docs.google.com/spreadsheets/d/1rG8iy-kKSFDxhVaU60GJ2bpXc8tZqI1bT8U0Ac0DWTU/edit?usp=sharing"",""REGISTRATION!C:AB""),26,FALSE)
=""No"",
""No Candy"",
""""
),
""""
)"),"")</f>
        <v/>
      </c>
      <c r="F163" s="32" t="str">
        <f>IFERROR(__xludf.DUMMYFUNCTION("IFNA(VLOOKUP(C163,IMPORTRANGE(""https://docs.google.com/spreadsheets/d/1rG8iy-kKSFDxhVaU60GJ2bpXc8tZqI1bT8U0Ac0DWTU/edit?usp=sharing"",""REGISTRATION!C:V""),18,FALSE),"""")"),"")</f>
        <v/>
      </c>
      <c r="G163" s="32" t="str">
        <f>IFERROR(__xludf.DUMMYFUNCTION("IFNA(VLOOKUP(C163,IMPORTRANGE(""https://docs.google.com/spreadsheets/d/1rG8iy-kKSFDxhVaU60GJ2bpXc8tZqI1bT8U0Ac0DWTU/edit?usp=sharing"",""REGISTRATION!C:V""),20,FALSE),"""")"),"")</f>
        <v/>
      </c>
      <c r="H163" s="32" t="str">
        <f>IFERROR(__xludf.DUMMYFUNCTION("IFNA(VLOOKUP(C163,IMPORTRANGE(""https://docs.google.com/spreadsheets/d/1rG8iy-kKSFDxhVaU60GJ2bpXc8tZqI1bT8U0Ac0DWTU/edit?usp=sharing"",""REGISTRATION!C:V""),19,FALSE),"""")"),"")</f>
        <v/>
      </c>
    </row>
    <row r="164">
      <c r="A164" s="15" t="s">
        <v>256</v>
      </c>
      <c r="B164" s="15" t="s">
        <v>257</v>
      </c>
      <c r="C164" s="28" t="s">
        <v>152</v>
      </c>
      <c r="D164" s="21" t="str">
        <f>IFERROR(__xludf.DUMMYFUNCTION("IFNA(
IF(
VLOOKUP(C164,IMPORTRANGE(""https://docs.google.com/spreadsheets/d/1rG8iy-kKSFDxhVaU60GJ2bpXc8tZqI1bT8U0Ac0DWTU/edit?usp=sharing"",""REGISTRATION!C:X""),22,FALSE)
=""I qualify for Free and Reduced Lunch and WOULD like lunch to be provided for my "&amp;"child."",
""Yes"",
""""
),
""""
)"),"Yes")</f>
        <v>Yes</v>
      </c>
      <c r="E164" s="22" t="str">
        <f>IFERROR(__xludf.DUMMYFUNCTION("IFNA(
IF(
VLOOKUP(C164,IMPORTRANGE(""https://docs.google.com/spreadsheets/d/1rG8iy-kKSFDxhVaU60GJ2bpXc8tZqI1bT8U0Ac0DWTU/edit?usp=sharing"",""REGISTRATION!C:AB""),26,FALSE)
=""No"",
""No Candy"",
""""
),
""""
)"),"")</f>
        <v/>
      </c>
      <c r="F164" s="21" t="str">
        <f>IFERROR(__xludf.DUMMYFUNCTION("IFNA(VLOOKUP(C164,IMPORTRANGE(""https://docs.google.com/spreadsheets/d/1rG8iy-kKSFDxhVaU60GJ2bpXc8tZqI1bT8U0Ac0DWTU/edit?usp=sharing"",""REGISTRATION!C:V""),18,FALSE),"""")"),"None")</f>
        <v>None</v>
      </c>
      <c r="G164" s="21" t="str">
        <f>IFERROR(__xludf.DUMMYFUNCTION("IFNA(VLOOKUP(C164,IMPORTRANGE(""https://docs.google.com/spreadsheets/d/1rG8iy-kKSFDxhVaU60GJ2bpXc8tZqI1bT8U0Ac0DWTU/edit?usp=sharing"",""REGISTRATION!C:V""),20,FALSE),"""")"),"")</f>
        <v/>
      </c>
      <c r="H164" s="21" t="str">
        <f>IFERROR(__xludf.DUMMYFUNCTION("IFNA(VLOOKUP(C164,IMPORTRANGE(""https://docs.google.com/spreadsheets/d/1rG8iy-kKSFDxhVaU60GJ2bpXc8tZqI1bT8U0Ac0DWTU/edit?usp=sharing"",""REGISTRATION!C:V""),19,FALSE),"""")"),"None")</f>
        <v>None</v>
      </c>
    </row>
    <row r="165">
      <c r="C165" s="28" t="s">
        <v>120</v>
      </c>
      <c r="D165" s="21" t="str">
        <f>IFERROR(__xludf.DUMMYFUNCTION("IFNA(
IF(
VLOOKUP(C165,IMPORTRANGE(""https://docs.google.com/spreadsheets/d/1rG8iy-kKSFDxhVaU60GJ2bpXc8tZqI1bT8U0Ac0DWTU/edit?usp=sharing"",""REGISTRATION!C:X""),22,FALSE)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65" s="22" t="str">
        <f>IFERROR(__xludf.DUMMYFUNCTION("IFNA(
IF(
VLOOKUP(C165,IMPORTRANGE(""https://docs.google.com/spreadsheets/d/1rG8iy-kKSFDxhVaU60GJ2bpXc8tZqI1bT8U0Ac0DWTU/edit?usp=sharing"",""REGISTRATION!C:AB""),26,FALSE)
=""No"",
""No Candy"",
""""
),
""""
)"),"")</f>
        <v/>
      </c>
      <c r="F165" s="21" t="str">
        <f>IFERROR(__xludf.DUMMYFUNCTION("IFNA(VLOOKUP(C165,IMPORTRANGE(""https://docs.google.com/spreadsheets/d/1rG8iy-kKSFDxhVaU60GJ2bpXc8tZqI1bT8U0Ac0DWTU/edit?usp=sharing"",""REGISTRATION!C:V""),18,FALSE),"""")"),"Nuts")</f>
        <v>Nuts</v>
      </c>
      <c r="G165" s="21" t="str">
        <f>IFERROR(__xludf.DUMMYFUNCTION("IFNA(VLOOKUP(C165,IMPORTRANGE(""https://docs.google.com/spreadsheets/d/1rG8iy-kKSFDxhVaU60GJ2bpXc8tZqI1bT8U0Ac0DWTU/edit?usp=sharing"",""REGISTRATION!C:V""),20,FALSE),"""")"),"")</f>
        <v/>
      </c>
      <c r="H165" s="21" t="str">
        <f>IFERROR(__xludf.DUMMYFUNCTION("IFNA(VLOOKUP(C165,IMPORTRANGE(""https://docs.google.com/spreadsheets/d/1rG8iy-kKSFDxhVaU60GJ2bpXc8tZqI1bT8U0Ac0DWTU/edit?usp=sharing"",""REGISTRATION!C:V""),19,FALSE),"""")"),"None")</f>
        <v>None</v>
      </c>
    </row>
    <row r="166">
      <c r="C166" s="52" t="s">
        <v>154</v>
      </c>
      <c r="D166" s="25" t="str">
        <f>IFERROR(__xludf.DUMMYFUNCTION("IFNA(
IF(
VLOOKUP(C166,IMPORTRANGE(""https://docs.google.com/spreadsheets/d/1rG8iy-kKSFDxhVaU60GJ2bpXc8tZqI1bT8U0Ac0DWTU/edit?usp=sharing"",""REGISTRATION!C:X""),22,FALSE)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66" s="26" t="str">
        <f>IFERROR(__xludf.DUMMYFUNCTION("IFNA(
IF(
VLOOKUP(C166,IMPORTRANGE(""https://docs.google.com/spreadsheets/d/1rG8iy-kKSFDxhVaU60GJ2bpXc8tZqI1bT8U0Ac0DWTU/edit?usp=sharing"",""REGISTRATION!C:AB""),26,FALSE)
=""No"",
""No Candy"",
""""
),
""""
)"),"No Candy")</f>
        <v>No Candy</v>
      </c>
      <c r="F166" s="25" t="str">
        <f>IFERROR(__xludf.DUMMYFUNCTION("IFNA(VLOOKUP(C166,IMPORTRANGE(""https://docs.google.com/spreadsheets/d/1rG8iy-kKSFDxhVaU60GJ2bpXc8tZqI1bT8U0Ac0DWTU/edit?usp=sharing"",""REGISTRATION!C:V""),18,FALSE),"""")"),"None")</f>
        <v>None</v>
      </c>
      <c r="G166" s="25" t="str">
        <f>IFERROR(__xludf.DUMMYFUNCTION("IFNA(VLOOKUP(C166,IMPORTRANGE(""https://docs.google.com/spreadsheets/d/1rG8iy-kKSFDxhVaU60GJ2bpXc8tZqI1bT8U0Ac0DWTU/edit?usp=sharing"",""REGISTRATION!C:V""),20,FALSE),"""")"),"She loves coding")</f>
        <v>She loves coding</v>
      </c>
      <c r="H166" s="25" t="str">
        <f>IFERROR(__xludf.DUMMYFUNCTION("IFNA(VLOOKUP(C166,IMPORTRANGE(""https://docs.google.com/spreadsheets/d/1rG8iy-kKSFDxhVaU60GJ2bpXc8tZqI1bT8U0Ac0DWTU/edit?usp=sharing"",""REGISTRATION!C:V""),19,FALSE),"""")"),"None")</f>
        <v>None</v>
      </c>
    </row>
    <row r="167">
      <c r="C167" s="28" t="s">
        <v>78</v>
      </c>
      <c r="D167" s="21" t="str">
        <f>IFERROR(__xludf.DUMMYFUNCTION("IFNA(
IF(
VLOOKUP(C167,IMPORTRANGE(""https://docs.google.com/spreadsheets/d/1rG8iy-kKSFDxhVaU60GJ2bpXc8tZqI1bT8U0Ac0DWTU/edit?usp=sharing"",""REGISTRATION!C:X""),22,FALSE)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67" s="22" t="str">
        <f>IFERROR(__xludf.DUMMYFUNCTION("IFNA(
IF(
VLOOKUP(C167,IMPORTRANGE(""https://docs.google.com/spreadsheets/d/1rG8iy-kKSFDxhVaU60GJ2bpXc8tZqI1bT8U0Ac0DWTU/edit?usp=sharing"",""REGISTRATION!C:AB""),26,FALSE)
=""No"",
""No Candy"",
""""
),
""""
)"),"")</f>
        <v/>
      </c>
      <c r="F167" s="21" t="str">
        <f>IFERROR(__xludf.DUMMYFUNCTION("IFNA(VLOOKUP(C167,IMPORTRANGE(""https://docs.google.com/spreadsheets/d/1rG8iy-kKSFDxhVaU60GJ2bpXc8tZqI1bT8U0Ac0DWTU/edit?usp=sharing"",""REGISTRATION!C:V""),18,FALSE),"""")"),"None")</f>
        <v>None</v>
      </c>
      <c r="G167" s="21" t="str">
        <f>IFERROR(__xludf.DUMMYFUNCTION("IFNA(VLOOKUP(C167,IMPORTRANGE(""https://docs.google.com/spreadsheets/d/1rG8iy-kKSFDxhVaU60GJ2bpXc8tZqI1bT8U0Ac0DWTU/edit?usp=sharing"",""REGISTRATION!C:V""),20,FALSE),"""")"),"")</f>
        <v/>
      </c>
      <c r="H167" s="21" t="str">
        <f>IFERROR(__xludf.DUMMYFUNCTION("IFNA(VLOOKUP(C167,IMPORTRANGE(""https://docs.google.com/spreadsheets/d/1rG8iy-kKSFDxhVaU60GJ2bpXc8tZqI1bT8U0Ac0DWTU/edit?usp=sharing"",""REGISTRATION!C:V""),19,FALSE),"""")"),"None")</f>
        <v>None</v>
      </c>
    </row>
    <row r="168">
      <c r="C168" s="28" t="s">
        <v>172</v>
      </c>
      <c r="D168" s="21" t="str">
        <f>IFERROR(__xludf.DUMMYFUNCTION("IFNA(
IF(
VLOOKUP(C168,IMPORTRANGE(""https://docs.google.com/spreadsheets/d/1rG8iy-kKSFDxhVaU60GJ2bpXc8tZqI1bT8U0Ac0DWTU/edit?usp=sharing"",""REGISTRATION!C:X""),22,FALSE)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68" s="22" t="str">
        <f>IFERROR(__xludf.DUMMYFUNCTION("IFNA(
IF(
VLOOKUP(C168,IMPORTRANGE(""https://docs.google.com/spreadsheets/d/1rG8iy-kKSFDxhVaU60GJ2bpXc8tZqI1bT8U0Ac0DWTU/edit?usp=sharing"",""REGISTRATION!C:AB""),26,FALSE)
=""No"",
""No Candy"",
""""
),
""""
)"),"")</f>
        <v/>
      </c>
      <c r="F168" s="21" t="str">
        <f>IFERROR(__xludf.DUMMYFUNCTION("IFNA(VLOOKUP(C168,IMPORTRANGE(""https://docs.google.com/spreadsheets/d/1rG8iy-kKSFDxhVaU60GJ2bpXc8tZqI1bT8U0Ac0DWTU/edit?usp=sharing"",""REGISTRATION!C:V""),18,FALSE),"""")"),"None")</f>
        <v>None</v>
      </c>
      <c r="G168" s="21" t="str">
        <f>IFERROR(__xludf.DUMMYFUNCTION("IFNA(VLOOKUP(C168,IMPORTRANGE(""https://docs.google.com/spreadsheets/d/1rG8iy-kKSFDxhVaU60GJ2bpXc8tZqI1bT8U0Ac0DWTU/edit?usp=sharing"",""REGISTRATION!C:V""),20,FALSE),"""")"),"")</f>
        <v/>
      </c>
      <c r="H168" s="21" t="str">
        <f>IFERROR(__xludf.DUMMYFUNCTION("IFNA(VLOOKUP(C168,IMPORTRANGE(""https://docs.google.com/spreadsheets/d/1rG8iy-kKSFDxhVaU60GJ2bpXc8tZqI1bT8U0Ac0DWTU/edit?usp=sharing"",""REGISTRATION!C:V""),19,FALSE),"""")"),"None")</f>
        <v>None</v>
      </c>
    </row>
    <row r="169">
      <c r="C169" s="28" t="s">
        <v>173</v>
      </c>
      <c r="D169" s="21" t="str">
        <f>IFERROR(__xludf.DUMMYFUNCTION("IFNA(
IF(
VLOOKUP(C169,IMPORTRANGE(""https://docs.google.com/spreadsheets/d/1rG8iy-kKSFDxhVaU60GJ2bpXc8tZqI1bT8U0Ac0DWTU/edit?usp=sharing"",""REGISTRATION!C:X""),22,FALSE)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69" s="22" t="str">
        <f>IFERROR(__xludf.DUMMYFUNCTION("IFNA(
IF(
VLOOKUP(C169,IMPORTRANGE(""https://docs.google.com/spreadsheets/d/1rG8iy-kKSFDxhVaU60GJ2bpXc8tZqI1bT8U0Ac0DWTU/edit?usp=sharing"",""REGISTRATION!C:AB""),26,FALSE)
=""No"",
""No Candy"",
""""
),
""""
)"),"")</f>
        <v/>
      </c>
      <c r="F169" s="21" t="str">
        <f>IFERROR(__xludf.DUMMYFUNCTION("IFNA(VLOOKUP(C169,IMPORTRANGE(""https://docs.google.com/spreadsheets/d/1rG8iy-kKSFDxhVaU60GJ2bpXc8tZqI1bT8U0Ac0DWTU/edit?usp=sharing"",""REGISTRATION!C:V""),18,FALSE),"""")"),"None")</f>
        <v>None</v>
      </c>
      <c r="G169" s="21" t="str">
        <f>IFERROR(__xludf.DUMMYFUNCTION("IFNA(VLOOKUP(C169,IMPORTRANGE(""https://docs.google.com/spreadsheets/d/1rG8iy-kKSFDxhVaU60GJ2bpXc8tZqI1bT8U0Ac0DWTU/edit?usp=sharing"",""REGISTRATION!C:V""),20,FALSE),"""")"),"")</f>
        <v/>
      </c>
      <c r="H169" s="21" t="str">
        <f>IFERROR(__xludf.DUMMYFUNCTION("IFNA(VLOOKUP(C169,IMPORTRANGE(""https://docs.google.com/spreadsheets/d/1rG8iy-kKSFDxhVaU60GJ2bpXc8tZqI1bT8U0Ac0DWTU/edit?usp=sharing"",""REGISTRATION!C:V""),19,FALSE),"""")"),"None")</f>
        <v>None</v>
      </c>
    </row>
    <row r="170">
      <c r="C170" s="28" t="s">
        <v>129</v>
      </c>
      <c r="D170" s="21" t="str">
        <f>IFERROR(__xludf.DUMMYFUNCTION("IFNA(
IF(
VLOOKUP(C170,IMPORTRANGE(""https://docs.google.com/spreadsheets/d/1rG8iy-kKSFDxhVaU60GJ2bpXc8tZqI1bT8U0Ac0DWTU/edit?usp=sharing"",""REGISTRATION!C:X""),22,FALSE)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70" s="22" t="str">
        <f>IFERROR(__xludf.DUMMYFUNCTION("IFNA(
IF(
VLOOKUP(C170,IMPORTRANGE(""https://docs.google.com/spreadsheets/d/1rG8iy-kKSFDxhVaU60GJ2bpXc8tZqI1bT8U0Ac0DWTU/edit?usp=sharing"",""REGISTRATION!C:AB""),26,FALSE)
=""No"",
""No Candy"",
""""
),
""""
)"),"")</f>
        <v/>
      </c>
      <c r="F170" s="21" t="str">
        <f>IFERROR(__xludf.DUMMYFUNCTION("IFNA(VLOOKUP(C170,IMPORTRANGE(""https://docs.google.com/spreadsheets/d/1rG8iy-kKSFDxhVaU60GJ2bpXc8tZqI1bT8U0Ac0DWTU/edit?usp=sharing"",""REGISTRATION!C:V""),18,FALSE),"""")"),"None")</f>
        <v>None</v>
      </c>
      <c r="G170" s="21" t="str">
        <f>IFERROR(__xludf.DUMMYFUNCTION("IFNA(VLOOKUP(C170,IMPORTRANGE(""https://docs.google.com/spreadsheets/d/1rG8iy-kKSFDxhVaU60GJ2bpXc8tZqI1bT8U0Ac0DWTU/edit?usp=sharing"",""REGISTRATION!C:V""),20,FALSE),"""")"),"")</f>
        <v/>
      </c>
      <c r="H170" s="21" t="str">
        <f>IFERROR(__xludf.DUMMYFUNCTION("IFNA(VLOOKUP(C170,IMPORTRANGE(""https://docs.google.com/spreadsheets/d/1rG8iy-kKSFDxhVaU60GJ2bpXc8tZqI1bT8U0Ac0DWTU/edit?usp=sharing"",""REGISTRATION!C:V""),19,FALSE),"""")"),"None")</f>
        <v>None</v>
      </c>
    </row>
    <row r="171">
      <c r="C171" s="28" t="s">
        <v>163</v>
      </c>
      <c r="D171" s="21" t="str">
        <f>IFERROR(__xludf.DUMMYFUNCTION("IFNA(
IF(
VLOOKUP(C171,IMPORTRANGE(""https://docs.google.com/spreadsheets/d/1rG8iy-kKSFDxhVaU60GJ2bpXc8tZqI1bT8U0Ac0DWTU/edit?usp=sharing"",""REGISTRATION!C:X""),22,FALSE)
=""I qualify for Free and Reduced Lunch and WOULD like lunch to be provided for my "&amp;"child."",
""Yes"",
""""
),
""""
)"),"Yes")</f>
        <v>Yes</v>
      </c>
      <c r="E171" s="22" t="str">
        <f>IFERROR(__xludf.DUMMYFUNCTION("IFNA(
IF(
VLOOKUP(C171,IMPORTRANGE(""https://docs.google.com/spreadsheets/d/1rG8iy-kKSFDxhVaU60GJ2bpXc8tZqI1bT8U0Ac0DWTU/edit?usp=sharing"",""REGISTRATION!C:AB""),26,FALSE)
=""No"",
""No Candy"",
""""
),
""""
)"),"")</f>
        <v/>
      </c>
      <c r="F171" s="21" t="str">
        <f>IFERROR(__xludf.DUMMYFUNCTION("IFNA(VLOOKUP(C171,IMPORTRANGE(""https://docs.google.com/spreadsheets/d/1rG8iy-kKSFDxhVaU60GJ2bpXc8tZqI1bT8U0Ac0DWTU/edit?usp=sharing"",""REGISTRATION!C:V""),18,FALSE),"""")"),"None")</f>
        <v>None</v>
      </c>
      <c r="G171" s="21" t="str">
        <f>IFERROR(__xludf.DUMMYFUNCTION("IFNA(VLOOKUP(C171,IMPORTRANGE(""https://docs.google.com/spreadsheets/d/1rG8iy-kKSFDxhVaU60GJ2bpXc8tZqI1bT8U0Ac0DWTU/edit?usp=sharing"",""REGISTRATION!C:V""),20,FALSE),"""")"),"")</f>
        <v/>
      </c>
      <c r="H171" s="21" t="str">
        <f>IFERROR(__xludf.DUMMYFUNCTION("IFNA(VLOOKUP(C171,IMPORTRANGE(""https://docs.google.com/spreadsheets/d/1rG8iy-kKSFDxhVaU60GJ2bpXc8tZqI1bT8U0Ac0DWTU/edit?usp=sharing"",""REGISTRATION!C:V""),19,FALSE),"""")"),"None")</f>
        <v>None</v>
      </c>
    </row>
    <row r="172">
      <c r="C172" s="28" t="s">
        <v>258</v>
      </c>
      <c r="D172" s="21" t="str">
        <f>IFERROR(__xludf.DUMMYFUNCTION("IFNA(
IF(
VLOOKUP(C172,IMPORTRANGE(""https://docs.google.com/spreadsheets/d/1rG8iy-kKSFDxhVaU60GJ2bpXc8tZqI1bT8U0Ac0DWTU/edit?usp=sharing"",""REGISTRATION!C:X""),22,FALSE)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72" s="22" t="str">
        <f>IFERROR(__xludf.DUMMYFUNCTION("IFNA(
IF(
VLOOKUP(C172,IMPORTRANGE(""https://docs.google.com/spreadsheets/d/1rG8iy-kKSFDxhVaU60GJ2bpXc8tZqI1bT8U0Ac0DWTU/edit?usp=sharing"",""REGISTRATION!C:AB""),26,FALSE)
=""No"",
""No Candy"",
""""
),
""""
)"),"")</f>
        <v/>
      </c>
      <c r="F172" s="21" t="str">
        <f>IFERROR(__xludf.DUMMYFUNCTION("IFNA(VLOOKUP(C172,IMPORTRANGE(""https://docs.google.com/spreadsheets/d/1rG8iy-kKSFDxhVaU60GJ2bpXc8tZqI1bT8U0Ac0DWTU/edit?usp=sharing"",""REGISTRATION!C:V""),18,FALSE),"""")"),"None")</f>
        <v>None</v>
      </c>
      <c r="G172" s="21" t="str">
        <f>IFERROR(__xludf.DUMMYFUNCTION("IFNA(VLOOKUP(C172,IMPORTRANGE(""https://docs.google.com/spreadsheets/d/1rG8iy-kKSFDxhVaU60GJ2bpXc8tZqI1bT8U0Ac0DWTU/edit?usp=sharing"",""REGISTRATION!C:V""),20,FALSE),"""")"),"")</f>
        <v/>
      </c>
      <c r="H172" s="21" t="str">
        <f>IFERROR(__xludf.DUMMYFUNCTION("IFNA(VLOOKUP(C172,IMPORTRANGE(""https://docs.google.com/spreadsheets/d/1rG8iy-kKSFDxhVaU60GJ2bpXc8tZqI1bT8U0Ac0DWTU/edit?usp=sharing"",""REGISTRATION!C:V""),19,FALSE),"""")"),"None")</f>
        <v>None</v>
      </c>
    </row>
    <row r="173">
      <c r="C173" s="28" t="s">
        <v>130</v>
      </c>
      <c r="D173" s="21" t="str">
        <f>IFERROR(__xludf.DUMMYFUNCTION("IFNA(
IF(
VLOOKUP(C173,IMPORTRANGE(""https://docs.google.com/spreadsheets/d/1rG8iy-kKSFDxhVaU60GJ2bpXc8tZqI1bT8U0Ac0DWTU/edit?usp=sharing"",""REGISTRATION!C:X""),22,FALSE)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73" s="22" t="str">
        <f>IFERROR(__xludf.DUMMYFUNCTION("IFNA(
IF(
VLOOKUP(C173,IMPORTRANGE(""https://docs.google.com/spreadsheets/d/1rG8iy-kKSFDxhVaU60GJ2bpXc8tZqI1bT8U0Ac0DWTU/edit?usp=sharing"",""REGISTRATION!C:AB""),26,FALSE)
=""No"",
""No Candy"",
""""
),
""""
)"),"")</f>
        <v/>
      </c>
      <c r="F173" s="21" t="str">
        <f>IFERROR(__xludf.DUMMYFUNCTION("IFNA(VLOOKUP(C173,IMPORTRANGE(""https://docs.google.com/spreadsheets/d/1rG8iy-kKSFDxhVaU60GJ2bpXc8tZqI1bT8U0Ac0DWTU/edit?usp=sharing"",""REGISTRATION!C:V""),18,FALSE),"""")"),"None")</f>
        <v>None</v>
      </c>
      <c r="G173" s="21" t="str">
        <f>IFERROR(__xludf.DUMMYFUNCTION("IFNA(VLOOKUP(C173,IMPORTRANGE(""https://docs.google.com/spreadsheets/d/1rG8iy-kKSFDxhVaU60GJ2bpXc8tZqI1bT8U0Ac0DWTU/edit?usp=sharing"",""REGISTRATION!C:V""),20,FALSE),"""")"),"")</f>
        <v/>
      </c>
      <c r="H173" s="21" t="str">
        <f>IFERROR(__xludf.DUMMYFUNCTION("IFNA(VLOOKUP(C173,IMPORTRANGE(""https://docs.google.com/spreadsheets/d/1rG8iy-kKSFDxhVaU60GJ2bpXc8tZqI1bT8U0Ac0DWTU/edit?usp=sharing"",""REGISTRATION!C:V""),19,FALSE),"""")"),"None")</f>
        <v>None</v>
      </c>
    </row>
    <row r="174">
      <c r="C174" s="28"/>
      <c r="D174" s="21" t="str">
        <f>IFERROR(__xludf.DUMMYFUNCTION("IFNA(
IF(
VLOOKUP(C174,IMPORTRANGE(""https://docs.google.com/spreadsheets/d/1rG8iy-kKSFDxhVaU60GJ2bpXc8tZqI1bT8U0Ac0DWTU/edit?usp=sharing"",""REGISTRATION!C:X""),22,FALSE)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74" s="22" t="str">
        <f>IFERROR(__xludf.DUMMYFUNCTION("IFNA(
IF(
VLOOKUP(C174,IMPORTRANGE(""https://docs.google.com/spreadsheets/d/1rG8iy-kKSFDxhVaU60GJ2bpXc8tZqI1bT8U0Ac0DWTU/edit?usp=sharing"",""REGISTRATION!C:AB""),26,FALSE)
=""No"",
""No Candy"",
""""
),
""""
)"),"")</f>
        <v/>
      </c>
      <c r="F174" s="21" t="str">
        <f>IFERROR(__xludf.DUMMYFUNCTION("IFNA(VLOOKUP(C174,IMPORTRANGE(""https://docs.google.com/spreadsheets/d/1rG8iy-kKSFDxhVaU60GJ2bpXc8tZqI1bT8U0Ac0DWTU/edit?usp=sharing"",""REGISTRATION!C:V""),18,FALSE),"""")"),"")</f>
        <v/>
      </c>
      <c r="G174" s="21" t="str">
        <f>IFERROR(__xludf.DUMMYFUNCTION("IFNA(VLOOKUP(C174,IMPORTRANGE(""https://docs.google.com/spreadsheets/d/1rG8iy-kKSFDxhVaU60GJ2bpXc8tZqI1bT8U0Ac0DWTU/edit?usp=sharing"",""REGISTRATION!C:V""),20,FALSE),"""")"),"")</f>
        <v/>
      </c>
      <c r="H174" s="21" t="str">
        <f>IFERROR(__xludf.DUMMYFUNCTION("IFNA(VLOOKUP(C174,IMPORTRANGE(""https://docs.google.com/spreadsheets/d/1rG8iy-kKSFDxhVaU60GJ2bpXc8tZqI1bT8U0Ac0DWTU/edit?usp=sharing"",""REGISTRATION!C:V""),19,FALSE),"""")"),"")</f>
        <v/>
      </c>
    </row>
    <row r="175">
      <c r="C175" s="28"/>
      <c r="D175" s="21" t="str">
        <f>IFERROR(__xludf.DUMMYFUNCTION("IFNA(
IF(
VLOOKUP(C175,IMPORTRANGE(""https://docs.google.com/spreadsheets/d/1rG8iy-kKSFDxhVaU60GJ2bpXc8tZqI1bT8U0Ac0DWTU/edit?usp=sharing"",""REGISTRATION!C:X""),22,FALSE)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75" s="22" t="str">
        <f>IFERROR(__xludf.DUMMYFUNCTION("IFNA(
IF(
VLOOKUP(C175,IMPORTRANGE(""https://docs.google.com/spreadsheets/d/1rG8iy-kKSFDxhVaU60GJ2bpXc8tZqI1bT8U0Ac0DWTU/edit?usp=sharing"",""REGISTRATION!C:AB""),26,FALSE)
=""No"",
""No Candy"",
""""
),
""""
)"),"")</f>
        <v/>
      </c>
      <c r="F175" s="21" t="str">
        <f>IFERROR(__xludf.DUMMYFUNCTION("IFNA(VLOOKUP(C175,IMPORTRANGE(""https://docs.google.com/spreadsheets/d/1rG8iy-kKSFDxhVaU60GJ2bpXc8tZqI1bT8U0Ac0DWTU/edit?usp=sharing"",""REGISTRATION!C:V""),18,FALSE),"""")"),"")</f>
        <v/>
      </c>
      <c r="G175" s="21" t="str">
        <f>IFERROR(__xludf.DUMMYFUNCTION("IFNA(VLOOKUP(C175,IMPORTRANGE(""https://docs.google.com/spreadsheets/d/1rG8iy-kKSFDxhVaU60GJ2bpXc8tZqI1bT8U0Ac0DWTU/edit?usp=sharing"",""REGISTRATION!C:V""),20,FALSE),"""")"),"")</f>
        <v/>
      </c>
      <c r="H175" s="21" t="str">
        <f>IFERROR(__xludf.DUMMYFUNCTION("IFNA(VLOOKUP(C175,IMPORTRANGE(""https://docs.google.com/spreadsheets/d/1rG8iy-kKSFDxhVaU60GJ2bpXc8tZqI1bT8U0Ac0DWTU/edit?usp=sharing"",""REGISTRATION!C:V""),19,FALSE),"""")"),"")</f>
        <v/>
      </c>
    </row>
    <row r="176">
      <c r="C176" s="20"/>
      <c r="D176" s="21" t="str">
        <f>IFERROR(__xludf.DUMMYFUNCTION("IFNA(
IF(
VLOOKUP(C176,IMPORTRANGE(""https://docs.google.com/spreadsheets/d/1rG8iy-kKSFDxhVaU60GJ2bpXc8tZqI1bT8U0Ac0DWTU/edit?usp=sharing"",""REGISTRATION!C:X""),22,FALSE)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76" s="22" t="str">
        <f>IFERROR(__xludf.DUMMYFUNCTION("IFNA(
IF(
VLOOKUP(C176,IMPORTRANGE(""https://docs.google.com/spreadsheets/d/1rG8iy-kKSFDxhVaU60GJ2bpXc8tZqI1bT8U0Ac0DWTU/edit?usp=sharing"",""REGISTRATION!C:AB""),26,FALSE)
=""No"",
""No Candy"",
""""
),
""""
)"),"")</f>
        <v/>
      </c>
      <c r="F176" s="21" t="str">
        <f>IFERROR(__xludf.DUMMYFUNCTION("IFNA(VLOOKUP(C176,IMPORTRANGE(""https://docs.google.com/spreadsheets/d/1rG8iy-kKSFDxhVaU60GJ2bpXc8tZqI1bT8U0Ac0DWTU/edit?usp=sharing"",""REGISTRATION!C:V""),18,FALSE),"""")"),"")</f>
        <v/>
      </c>
      <c r="G176" s="21" t="str">
        <f>IFERROR(__xludf.DUMMYFUNCTION("IFNA(VLOOKUP(C176,IMPORTRANGE(""https://docs.google.com/spreadsheets/d/1rG8iy-kKSFDxhVaU60GJ2bpXc8tZqI1bT8U0Ac0DWTU/edit?usp=sharing"",""REGISTRATION!C:V""),20,FALSE),"""")"),"")</f>
        <v/>
      </c>
      <c r="H176" s="21" t="str">
        <f>IFERROR(__xludf.DUMMYFUNCTION("IFNA(VLOOKUP(C176,IMPORTRANGE(""https://docs.google.com/spreadsheets/d/1rG8iy-kKSFDxhVaU60GJ2bpXc8tZqI1bT8U0Ac0DWTU/edit?usp=sharing"",""REGISTRATION!C:V""),19,FALSE),"""")"),"")</f>
        <v/>
      </c>
    </row>
    <row r="177">
      <c r="C177" s="20"/>
      <c r="D177" s="21" t="str">
        <f>IFERROR(__xludf.DUMMYFUNCTION("IFNA(
IF(
VLOOKUP(C177,IMPORTRANGE(""https://docs.google.com/spreadsheets/d/1rG8iy-kKSFDxhVaU60GJ2bpXc8tZqI1bT8U0Ac0DWTU/edit?usp=sharing"",""REGISTRATION!C:X""),22,FALSE)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77" s="22" t="str">
        <f>IFERROR(__xludf.DUMMYFUNCTION("IFNA(
IF(
VLOOKUP(C177,IMPORTRANGE(""https://docs.google.com/spreadsheets/d/1rG8iy-kKSFDxhVaU60GJ2bpXc8tZqI1bT8U0Ac0DWTU/edit?usp=sharing"",""REGISTRATION!C:AB""),26,FALSE)
=""No"",
""No Candy"",
""""
),
""""
)"),"")</f>
        <v/>
      </c>
      <c r="F177" s="21" t="str">
        <f>IFERROR(__xludf.DUMMYFUNCTION("IFNA(VLOOKUP(C177,IMPORTRANGE(""https://docs.google.com/spreadsheets/d/1rG8iy-kKSFDxhVaU60GJ2bpXc8tZqI1bT8U0Ac0DWTU/edit?usp=sharing"",""REGISTRATION!C:V""),18,FALSE),"""")"),"")</f>
        <v/>
      </c>
      <c r="G177" s="21" t="str">
        <f>IFERROR(__xludf.DUMMYFUNCTION("IFNA(VLOOKUP(C177,IMPORTRANGE(""https://docs.google.com/spreadsheets/d/1rG8iy-kKSFDxhVaU60GJ2bpXc8tZqI1bT8U0Ac0DWTU/edit?usp=sharing"",""REGISTRATION!C:V""),20,FALSE),"""")"),"")</f>
        <v/>
      </c>
      <c r="H177" s="21" t="str">
        <f>IFERROR(__xludf.DUMMYFUNCTION("IFNA(VLOOKUP(C177,IMPORTRANGE(""https://docs.google.com/spreadsheets/d/1rG8iy-kKSFDxhVaU60GJ2bpXc8tZqI1bT8U0Ac0DWTU/edit?usp=sharing"",""REGISTRATION!C:V""),19,FALSE),"""")"),"")</f>
        <v/>
      </c>
    </row>
    <row r="178">
      <c r="C178" s="20"/>
      <c r="D178" s="21" t="str">
        <f>IFERROR(__xludf.DUMMYFUNCTION("IFNA(
IF(
VLOOKUP(C178,IMPORTRANGE(""https://docs.google.com/spreadsheets/d/1rG8iy-kKSFDxhVaU60GJ2bpXc8tZqI1bT8U0Ac0DWTU/edit?usp=sharing"",""REGISTRATION!C:X""),22,FALSE)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78" s="22" t="str">
        <f>IFERROR(__xludf.DUMMYFUNCTION("IFNA(
IF(
VLOOKUP(C178,IMPORTRANGE(""https://docs.google.com/spreadsheets/d/1rG8iy-kKSFDxhVaU60GJ2bpXc8tZqI1bT8U0Ac0DWTU/edit?usp=sharing"",""REGISTRATION!C:AB""),26,FALSE)
=""No"",
""No Candy"",
""""
),
""""
)"),"")</f>
        <v/>
      </c>
      <c r="F178" s="21" t="str">
        <f>IFERROR(__xludf.DUMMYFUNCTION("IFNA(VLOOKUP(C178,IMPORTRANGE(""https://docs.google.com/spreadsheets/d/1rG8iy-kKSFDxhVaU60GJ2bpXc8tZqI1bT8U0Ac0DWTU/edit?usp=sharing"",""REGISTRATION!C:V""),18,FALSE),"""")"),"")</f>
        <v/>
      </c>
      <c r="G178" s="21" t="str">
        <f>IFERROR(__xludf.DUMMYFUNCTION("IFNA(VLOOKUP(C178,IMPORTRANGE(""https://docs.google.com/spreadsheets/d/1rG8iy-kKSFDxhVaU60GJ2bpXc8tZqI1bT8U0Ac0DWTU/edit?usp=sharing"",""REGISTRATION!C:V""),20,FALSE),"""")"),"")</f>
        <v/>
      </c>
      <c r="H178" s="21" t="str">
        <f>IFERROR(__xludf.DUMMYFUNCTION("IFNA(VLOOKUP(C178,IMPORTRANGE(""https://docs.google.com/spreadsheets/d/1rG8iy-kKSFDxhVaU60GJ2bpXc8tZqI1bT8U0Ac0DWTU/edit?usp=sharing"",""REGISTRATION!C:V""),19,FALSE),"""")"),"")</f>
        <v/>
      </c>
    </row>
    <row r="179">
      <c r="C179" s="20"/>
      <c r="D179" s="21" t="str">
        <f>IFERROR(__xludf.DUMMYFUNCTION("IFNA(
IF(
VLOOKUP(C179,IMPORTRANGE(""https://docs.google.com/spreadsheets/d/1rG8iy-kKSFDxhVaU60GJ2bpXc8tZqI1bT8U0Ac0DWTU/edit?usp=sharing"",""REGISTRATION!C:X""),22,FALSE)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79" s="22" t="str">
        <f>IFERROR(__xludf.DUMMYFUNCTION("IFNA(
IF(
VLOOKUP(C179,IMPORTRANGE(""https://docs.google.com/spreadsheets/d/1rG8iy-kKSFDxhVaU60GJ2bpXc8tZqI1bT8U0Ac0DWTU/edit?usp=sharing"",""REGISTRATION!C:AB""),26,FALSE)
=""No"",
""No Candy"",
""""
),
""""
)"),"")</f>
        <v/>
      </c>
      <c r="F179" s="21" t="str">
        <f>IFERROR(__xludf.DUMMYFUNCTION("IFNA(VLOOKUP(C179,IMPORTRANGE(""https://docs.google.com/spreadsheets/d/1rG8iy-kKSFDxhVaU60GJ2bpXc8tZqI1bT8U0Ac0DWTU/edit?usp=sharing"",""REGISTRATION!C:V""),18,FALSE),"""")"),"")</f>
        <v/>
      </c>
      <c r="G179" s="21" t="str">
        <f>IFERROR(__xludf.DUMMYFUNCTION("IFNA(VLOOKUP(C179,IMPORTRANGE(""https://docs.google.com/spreadsheets/d/1rG8iy-kKSFDxhVaU60GJ2bpXc8tZqI1bT8U0Ac0DWTU/edit?usp=sharing"",""REGISTRATION!C:V""),20,FALSE),"""")"),"")</f>
        <v/>
      </c>
      <c r="H179" s="21" t="str">
        <f>IFERROR(__xludf.DUMMYFUNCTION("IFNA(VLOOKUP(C179,IMPORTRANGE(""https://docs.google.com/spreadsheets/d/1rG8iy-kKSFDxhVaU60GJ2bpXc8tZqI1bT8U0Ac0DWTU/edit?usp=sharing"",""REGISTRATION!C:V""),19,FALSE),"""")"),"")</f>
        <v/>
      </c>
    </row>
    <row r="180">
      <c r="C180" s="20"/>
      <c r="D180" s="21" t="str">
        <f>IFERROR(__xludf.DUMMYFUNCTION("IFNA(
IF(
VLOOKUP(C180,IMPORTRANGE(""https://docs.google.com/spreadsheets/d/1rG8iy-kKSFDxhVaU60GJ2bpXc8tZqI1bT8U0Ac0DWTU/edit?usp=sharing"",""REGISTRATION!C:X""),22,FALSE)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80" s="22" t="str">
        <f>IFERROR(__xludf.DUMMYFUNCTION("IFNA(
IF(
VLOOKUP(C180,IMPORTRANGE(""https://docs.google.com/spreadsheets/d/1rG8iy-kKSFDxhVaU60GJ2bpXc8tZqI1bT8U0Ac0DWTU/edit?usp=sharing"",""REGISTRATION!C:AB""),26,FALSE)
=""No"",
""No Candy"",
""""
),
""""
)"),"")</f>
        <v/>
      </c>
      <c r="F180" s="21" t="str">
        <f>IFERROR(__xludf.DUMMYFUNCTION("IFNA(VLOOKUP(C180,IMPORTRANGE(""https://docs.google.com/spreadsheets/d/1rG8iy-kKSFDxhVaU60GJ2bpXc8tZqI1bT8U0Ac0DWTU/edit?usp=sharing"",""REGISTRATION!C:V""),18,FALSE),"""")"),"")</f>
        <v/>
      </c>
      <c r="G180" s="21" t="str">
        <f>IFERROR(__xludf.DUMMYFUNCTION("IFNA(VLOOKUP(C180,IMPORTRANGE(""https://docs.google.com/spreadsheets/d/1rG8iy-kKSFDxhVaU60GJ2bpXc8tZqI1bT8U0Ac0DWTU/edit?usp=sharing"",""REGISTRATION!C:V""),20,FALSE),"""")"),"")</f>
        <v/>
      </c>
      <c r="H180" s="21" t="str">
        <f>IFERROR(__xludf.DUMMYFUNCTION("IFNA(VLOOKUP(C180,IMPORTRANGE(""https://docs.google.com/spreadsheets/d/1rG8iy-kKSFDxhVaU60GJ2bpXc8tZqI1bT8U0Ac0DWTU/edit?usp=sharing"",""REGISTRATION!C:V""),19,FALSE),"""")"),"")</f>
        <v/>
      </c>
    </row>
    <row r="181">
      <c r="C181" s="20"/>
      <c r="D181" s="21" t="str">
        <f>IFERROR(__xludf.DUMMYFUNCTION("IFNA(
IF(
VLOOKUP(C181,IMPORTRANGE(""https://docs.google.com/spreadsheets/d/1rG8iy-kKSFDxhVaU60GJ2bpXc8tZqI1bT8U0Ac0DWTU/edit?usp=sharing"",""REGISTRATION!C:X""),22,FALSE)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81" s="22" t="str">
        <f>IFERROR(__xludf.DUMMYFUNCTION("IFNA(
IF(
VLOOKUP(C181,IMPORTRANGE(""https://docs.google.com/spreadsheets/d/1rG8iy-kKSFDxhVaU60GJ2bpXc8tZqI1bT8U0Ac0DWTU/edit?usp=sharing"",""REGISTRATION!C:AB""),26,FALSE)
=""No"",
""No Candy"",
""""
),
""""
)"),"")</f>
        <v/>
      </c>
      <c r="F181" s="21" t="str">
        <f>IFERROR(__xludf.DUMMYFUNCTION("IFNA(VLOOKUP(C181,IMPORTRANGE(""https://docs.google.com/spreadsheets/d/1rG8iy-kKSFDxhVaU60GJ2bpXc8tZqI1bT8U0Ac0DWTU/edit?usp=sharing"",""REGISTRATION!C:V""),18,FALSE),"""")"),"")</f>
        <v/>
      </c>
      <c r="G181" s="21" t="str">
        <f>IFERROR(__xludf.DUMMYFUNCTION("IFNA(VLOOKUP(C181,IMPORTRANGE(""https://docs.google.com/spreadsheets/d/1rG8iy-kKSFDxhVaU60GJ2bpXc8tZqI1bT8U0Ac0DWTU/edit?usp=sharing"",""REGISTRATION!C:V""),20,FALSE),"""")"),"")</f>
        <v/>
      </c>
      <c r="H181" s="21" t="str">
        <f>IFERROR(__xludf.DUMMYFUNCTION("IFNA(VLOOKUP(C181,IMPORTRANGE(""https://docs.google.com/spreadsheets/d/1rG8iy-kKSFDxhVaU60GJ2bpXc8tZqI1bT8U0Ac0DWTU/edit?usp=sharing"",""REGISTRATION!C:V""),19,FALSE),"""")"),"")</f>
        <v/>
      </c>
    </row>
    <row r="182">
      <c r="C182" s="20"/>
      <c r="D182" s="21" t="str">
        <f>IFERROR(__xludf.DUMMYFUNCTION("IFNA(
IF(
VLOOKUP(C182,IMPORTRANGE(""https://docs.google.com/spreadsheets/d/1rG8iy-kKSFDxhVaU60GJ2bpXc8tZqI1bT8U0Ac0DWTU/edit?usp=sharing"",""REGISTRATION!C:X""),22,FALSE)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82" s="22" t="str">
        <f>IFERROR(__xludf.DUMMYFUNCTION("IFNA(
IF(
VLOOKUP(C182,IMPORTRANGE(""https://docs.google.com/spreadsheets/d/1rG8iy-kKSFDxhVaU60GJ2bpXc8tZqI1bT8U0Ac0DWTU/edit?usp=sharing"",""REGISTRATION!C:AB""),26,FALSE)
=""No"",
""No Candy"",
""""
),
""""
)"),"")</f>
        <v/>
      </c>
      <c r="F182" s="21" t="str">
        <f>IFERROR(__xludf.DUMMYFUNCTION("IFNA(VLOOKUP(C182,IMPORTRANGE(""https://docs.google.com/spreadsheets/d/1rG8iy-kKSFDxhVaU60GJ2bpXc8tZqI1bT8U0Ac0DWTU/edit?usp=sharing"",""REGISTRATION!C:V""),18,FALSE),"""")"),"")</f>
        <v/>
      </c>
      <c r="G182" s="21" t="str">
        <f>IFERROR(__xludf.DUMMYFUNCTION("IFNA(VLOOKUP(C182,IMPORTRANGE(""https://docs.google.com/spreadsheets/d/1rG8iy-kKSFDxhVaU60GJ2bpXc8tZqI1bT8U0Ac0DWTU/edit?usp=sharing"",""REGISTRATION!C:V""),20,FALSE),"""")"),"")</f>
        <v/>
      </c>
      <c r="H182" s="21" t="str">
        <f>IFERROR(__xludf.DUMMYFUNCTION("IFNA(VLOOKUP(C182,IMPORTRANGE(""https://docs.google.com/spreadsheets/d/1rG8iy-kKSFDxhVaU60GJ2bpXc8tZqI1bT8U0Ac0DWTU/edit?usp=sharing"",""REGISTRATION!C:V""),19,FALSE),"""")"),"")</f>
        <v/>
      </c>
    </row>
    <row r="183">
      <c r="C183" s="55"/>
      <c r="D183" s="21" t="str">
        <f>IFERROR(__xludf.DUMMYFUNCTION("IFNA(
IF(
VLOOKUP(C183,IMPORTRANGE(""https://docs.google.com/spreadsheets/d/1rG8iy-kKSFDxhVaU60GJ2bpXc8tZqI1bT8U0Ac0DWTU/edit?usp=sharing"",""REGISTRATION!C:X""),22,FALSE)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83" s="22" t="str">
        <f>IFERROR(__xludf.DUMMYFUNCTION("IFNA(
IF(
VLOOKUP(C183,IMPORTRANGE(""https://docs.google.com/spreadsheets/d/1rG8iy-kKSFDxhVaU60GJ2bpXc8tZqI1bT8U0Ac0DWTU/edit?usp=sharing"",""REGISTRATION!C:AB""),26,FALSE)
=""No"",
""No Candy"",
""""
),
""""
)"),"")</f>
        <v/>
      </c>
      <c r="F183" s="21" t="str">
        <f>IFERROR(__xludf.DUMMYFUNCTION("IFNA(VLOOKUP(C183,IMPORTRANGE(""https://docs.google.com/spreadsheets/d/1rG8iy-kKSFDxhVaU60GJ2bpXc8tZqI1bT8U0Ac0DWTU/edit?usp=sharing"",""REGISTRATION!C:V""),18,FALSE),"""")"),"")</f>
        <v/>
      </c>
      <c r="G183" s="21" t="str">
        <f>IFERROR(__xludf.DUMMYFUNCTION("IFNA(VLOOKUP(C183,IMPORTRANGE(""https://docs.google.com/spreadsheets/d/1rG8iy-kKSFDxhVaU60GJ2bpXc8tZqI1bT8U0Ac0DWTU/edit?usp=sharing"",""REGISTRATION!C:V""),20,FALSE),"""")"),"")</f>
        <v/>
      </c>
      <c r="H183" s="21" t="str">
        <f>IFERROR(__xludf.DUMMYFUNCTION("IFNA(VLOOKUP(C183,IMPORTRANGE(""https://docs.google.com/spreadsheets/d/1rG8iy-kKSFDxhVaU60GJ2bpXc8tZqI1bT8U0Ac0DWTU/edit?usp=sharing"",""REGISTRATION!C:V""),19,FALSE),"""")"),"")</f>
        <v/>
      </c>
    </row>
    <row r="184" ht="16.5" customHeight="1">
      <c r="A184" s="30" t="s">
        <v>259</v>
      </c>
      <c r="B184" s="30" t="s">
        <v>260</v>
      </c>
      <c r="C184" s="31" t="s">
        <v>164</v>
      </c>
      <c r="D184" s="32" t="str">
        <f>IFERROR(__xludf.DUMMYFUNCTION("IFNA(
IF(
VLOOKUP(C184,IMPORTRANGE(""https://docs.google.com/spreadsheets/d/1rG8iy-kKSFDxhVaU60GJ2bpXc8tZqI1bT8U0Ac0DWTU/edit?usp=sharing"",""REGISTRATION!C:X""),22,FALSE)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84" s="33" t="str">
        <f>IFERROR(__xludf.DUMMYFUNCTION("IFNA(
IF(
VLOOKUP(C184,IMPORTRANGE(""https://docs.google.com/spreadsheets/d/1rG8iy-kKSFDxhVaU60GJ2bpXc8tZqI1bT8U0Ac0DWTU/edit?usp=sharing"",""REGISTRATION!C:AB""),26,FALSE)
=""No"",
""No Candy"",
""""
),
""""
)"),"")</f>
        <v/>
      </c>
      <c r="F184" s="32" t="str">
        <f>IFERROR(__xludf.DUMMYFUNCTION("IFNA(VLOOKUP(C184,IMPORTRANGE(""https://docs.google.com/spreadsheets/d/1rG8iy-kKSFDxhVaU60GJ2bpXc8tZqI1bT8U0Ac0DWTU/edit?usp=sharing"",""REGISTRATION!C:V""),18,FALSE),"""")"),"None")</f>
        <v>None</v>
      </c>
      <c r="G184" s="32" t="str">
        <f>IFERROR(__xludf.DUMMYFUNCTION("IFNA(VLOOKUP(C184,IMPORTRANGE(""https://docs.google.com/spreadsheets/d/1rG8iy-kKSFDxhVaU60GJ2bpXc8tZqI1bT8U0Ac0DWTU/edit?usp=sharing"",""REGISTRATION!C:V""),20,FALSE),"""")"),"")</f>
        <v/>
      </c>
      <c r="H184" s="32" t="str">
        <f>IFERROR(__xludf.DUMMYFUNCTION("IFNA(VLOOKUP(C184,IMPORTRANGE(""https://docs.google.com/spreadsheets/d/1rG8iy-kKSFDxhVaU60GJ2bpXc8tZqI1bT8U0Ac0DWTU/edit?usp=sharing"",""REGISTRATION!C:V""),19,FALSE),"""")"),"None")</f>
        <v>None</v>
      </c>
    </row>
    <row r="185">
      <c r="C185" s="31" t="s">
        <v>166</v>
      </c>
      <c r="D185" s="32" t="str">
        <f>IFERROR(__xludf.DUMMYFUNCTION("IFNA(
IF(
VLOOKUP(C185,IMPORTRANGE(""https://docs.google.com/spreadsheets/d/1rG8iy-kKSFDxhVaU60GJ2bpXc8tZqI1bT8U0Ac0DWTU/edit?usp=sharing"",""REGISTRATION!C:X""),22,FALSE)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85" s="33" t="str">
        <f>IFERROR(__xludf.DUMMYFUNCTION("IFNA(
IF(
VLOOKUP(C185,IMPORTRANGE(""https://docs.google.com/spreadsheets/d/1rG8iy-kKSFDxhVaU60GJ2bpXc8tZqI1bT8U0Ac0DWTU/edit?usp=sharing"",""REGISTRATION!C:AB""),26,FALSE)
=""No"",
""No Candy"",
""""
),
""""
)"),"")</f>
        <v/>
      </c>
      <c r="F185" s="32" t="str">
        <f>IFERROR(__xludf.DUMMYFUNCTION("IFNA(VLOOKUP(C185,IMPORTRANGE(""https://docs.google.com/spreadsheets/d/1rG8iy-kKSFDxhVaU60GJ2bpXc8tZqI1bT8U0Ac0DWTU/edit?usp=sharing"",""REGISTRATION!C:V""),18,FALSE),"""")"),"Raw carrots")</f>
        <v>Raw carrots</v>
      </c>
      <c r="G185" s="32" t="str">
        <f>IFERROR(__xludf.DUMMYFUNCTION("IFNA(VLOOKUP(C185,IMPORTRANGE(""https://docs.google.com/spreadsheets/d/1rG8iy-kKSFDxhVaU60GJ2bpXc8tZqI1bT8U0Ac0DWTU/edit?usp=sharing"",""REGISTRATION!C:V""),20,FALSE),"""")"),"First time learning computer language ")</f>
        <v>First time learning computer language </v>
      </c>
      <c r="H185" s="32" t="str">
        <f>IFERROR(__xludf.DUMMYFUNCTION("IFNA(VLOOKUP(C185,IMPORTRANGE(""https://docs.google.com/spreadsheets/d/1rG8iy-kKSFDxhVaU60GJ2bpXc8tZqI1bT8U0Ac0DWTU/edit?usp=sharing"",""REGISTRATION!C:V""),19,FALSE),"""")"),"None")</f>
        <v>None</v>
      </c>
    </row>
    <row r="186">
      <c r="C186" s="31" t="s">
        <v>167</v>
      </c>
      <c r="D186" s="32" t="str">
        <f>IFERROR(__xludf.DUMMYFUNCTION("IFNA(
IF(
VLOOKUP(C186,IMPORTRANGE(""https://docs.google.com/spreadsheets/d/1rG8iy-kKSFDxhVaU60GJ2bpXc8tZqI1bT8U0Ac0DWTU/edit?usp=sharing"",""REGISTRATION!C:X""),22,FALSE)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86" s="33" t="str">
        <f>IFERROR(__xludf.DUMMYFUNCTION("IFNA(
IF(
VLOOKUP(C186,IMPORTRANGE(""https://docs.google.com/spreadsheets/d/1rG8iy-kKSFDxhVaU60GJ2bpXc8tZqI1bT8U0Ac0DWTU/edit?usp=sharing"",""REGISTRATION!C:AB""),26,FALSE)
=""No"",
""No Candy"",
""""
),
""""
)"),"")</f>
        <v/>
      </c>
      <c r="F186" s="32" t="str">
        <f>IFERROR(__xludf.DUMMYFUNCTION("IFNA(VLOOKUP(C186,IMPORTRANGE(""https://docs.google.com/spreadsheets/d/1rG8iy-kKSFDxhVaU60GJ2bpXc8tZqI1bT8U0Ac0DWTU/edit?usp=sharing"",""REGISTRATION!C:V""),18,FALSE),"""")"),"None")</f>
        <v>None</v>
      </c>
      <c r="G186" s="32" t="str">
        <f>IFERROR(__xludf.DUMMYFUNCTION("IFNA(VLOOKUP(C186,IMPORTRANGE(""https://docs.google.com/spreadsheets/d/1rG8iy-kKSFDxhVaU60GJ2bpXc8tZqI1bT8U0Ac0DWTU/edit?usp=sharing"",""REGISTRATION!C:V""),20,FALSE),"""")"),"")</f>
        <v/>
      </c>
      <c r="H186" s="32" t="str">
        <f>IFERROR(__xludf.DUMMYFUNCTION("IFNA(VLOOKUP(C186,IMPORTRANGE(""https://docs.google.com/spreadsheets/d/1rG8iy-kKSFDxhVaU60GJ2bpXc8tZqI1bT8U0Ac0DWTU/edit?usp=sharing"",""REGISTRATION!C:V""),19,FALSE),"""")"),"None")</f>
        <v>None</v>
      </c>
    </row>
    <row r="187">
      <c r="C187" s="31" t="s">
        <v>206</v>
      </c>
      <c r="D187" s="32" t="str">
        <f>IFERROR(__xludf.DUMMYFUNCTION("IFNA(
IF(
VLOOKUP(C187,IMPORTRANGE(""https://docs.google.com/spreadsheets/d/1rG8iy-kKSFDxhVaU60GJ2bpXc8tZqI1bT8U0Ac0DWTU/edit?usp=sharing"",""REGISTRATION!C:X""),22,FALSE)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87" s="33" t="str">
        <f>IFERROR(__xludf.DUMMYFUNCTION("IFNA(
IF(
VLOOKUP(C187,IMPORTRANGE(""https://docs.google.com/spreadsheets/d/1rG8iy-kKSFDxhVaU60GJ2bpXc8tZqI1bT8U0Ac0DWTU/edit?usp=sharing"",""REGISTRATION!C:AB""),26,FALSE)
=""No"",
""No Candy"",
""""
),
""""
)"),"")</f>
        <v/>
      </c>
      <c r="F187" s="32" t="str">
        <f>IFERROR(__xludf.DUMMYFUNCTION("IFNA(VLOOKUP(C187,IMPORTRANGE(""https://docs.google.com/spreadsheets/d/1rG8iy-kKSFDxhVaU60GJ2bpXc8tZqI1bT8U0Ac0DWTU/edit?usp=sharing"",""REGISTRATION!C:V""),18,FALSE),"""")"),"None")</f>
        <v>None</v>
      </c>
      <c r="G187" s="32" t="str">
        <f>IFERROR(__xludf.DUMMYFUNCTION("IFNA(VLOOKUP(C187,IMPORTRANGE(""https://docs.google.com/spreadsheets/d/1rG8iy-kKSFDxhVaU60GJ2bpXc8tZqI1bT8U0Ac0DWTU/edit?usp=sharing"",""REGISTRATION!C:V""),20,FALSE),"""")"),"")</f>
        <v/>
      </c>
      <c r="H187" s="32" t="str">
        <f>IFERROR(__xludf.DUMMYFUNCTION("IFNA(VLOOKUP(C187,IMPORTRANGE(""https://docs.google.com/spreadsheets/d/1rG8iy-kKSFDxhVaU60GJ2bpXc8tZqI1bT8U0Ac0DWTU/edit?usp=sharing"",""REGISTRATION!C:V""),19,FALSE),"""")"),"None")</f>
        <v>None</v>
      </c>
    </row>
    <row r="188">
      <c r="C188" s="31" t="s">
        <v>261</v>
      </c>
      <c r="D188" s="32" t="str">
        <f>IFERROR(__xludf.DUMMYFUNCTION("IFNA(
IF(
VLOOKUP(C188,IMPORTRANGE(""https://docs.google.com/spreadsheets/d/1rG8iy-kKSFDxhVaU60GJ2bpXc8tZqI1bT8U0Ac0DWTU/edit?usp=sharing"",""REGISTRATION!C:X""),22,FALSE)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88" s="33" t="str">
        <f>IFERROR(__xludf.DUMMYFUNCTION("IFNA(
IF(
VLOOKUP(C188,IMPORTRANGE(""https://docs.google.com/spreadsheets/d/1rG8iy-kKSFDxhVaU60GJ2bpXc8tZqI1bT8U0Ac0DWTU/edit?usp=sharing"",""REGISTRATION!C:AB""),26,FALSE)
=""No"",
""No Candy"",
""""
),
""""
)"),"")</f>
        <v/>
      </c>
      <c r="F188" s="32" t="str">
        <f>IFERROR(__xludf.DUMMYFUNCTION("IFNA(VLOOKUP(C188,IMPORTRANGE(""https://docs.google.com/spreadsheets/d/1rG8iy-kKSFDxhVaU60GJ2bpXc8tZqI1bT8U0Ac0DWTU/edit?usp=sharing"",""REGISTRATION!C:V""),18,FALSE),"""")"),"Gluten")</f>
        <v>Gluten</v>
      </c>
      <c r="G188" s="32" t="str">
        <f>IFERROR(__xludf.DUMMYFUNCTION("IFNA(VLOOKUP(C188,IMPORTRANGE(""https://docs.google.com/spreadsheets/d/1rG8iy-kKSFDxhVaU60GJ2bpXc8tZqI1bT8U0Ac0DWTU/edit?usp=sharing"",""REGISTRATION!C:V""),20,FALSE),"""")"),"First Robotics FTC")</f>
        <v>First Robotics FTC</v>
      </c>
      <c r="H188" s="32" t="str">
        <f>IFERROR(__xludf.DUMMYFUNCTION("IFNA(VLOOKUP(C188,IMPORTRANGE(""https://docs.google.com/spreadsheets/d/1rG8iy-kKSFDxhVaU60GJ2bpXc8tZqI1bT8U0Ac0DWTU/edit?usp=sharing"",""REGISTRATION!C:V""),19,FALSE),"""")"),"None")</f>
        <v>None</v>
      </c>
    </row>
    <row r="189">
      <c r="C189" s="31" t="s">
        <v>191</v>
      </c>
      <c r="D189" s="32" t="str">
        <f>IFERROR(__xludf.DUMMYFUNCTION("IFNA(
IF(
VLOOKUP(C189,IMPORTRANGE(""https://docs.google.com/spreadsheets/d/1rG8iy-kKSFDxhVaU60GJ2bpXc8tZqI1bT8U0Ac0DWTU/edit?usp=sharing"",""REGISTRATION!C:X""),22,FALSE)
=""I qualify for Free and Reduced Lunch and WOULD like lunch to be provided for my "&amp;"child."",
""Yes"",
""""
),
""""
)"),"Yes")</f>
        <v>Yes</v>
      </c>
      <c r="E189" s="33" t="str">
        <f>IFERROR(__xludf.DUMMYFUNCTION("IFNA(
IF(
VLOOKUP(C189,IMPORTRANGE(""https://docs.google.com/spreadsheets/d/1rG8iy-kKSFDxhVaU60GJ2bpXc8tZqI1bT8U0Ac0DWTU/edit?usp=sharing"",""REGISTRATION!C:AB""),26,FALSE)
=""No"",
""No Candy"",
""""
),
""""
)"),"")</f>
        <v/>
      </c>
      <c r="F189" s="32" t="str">
        <f>IFERROR(__xludf.DUMMYFUNCTION("IFNA(VLOOKUP(C189,IMPORTRANGE(""https://docs.google.com/spreadsheets/d/1rG8iy-kKSFDxhVaU60GJ2bpXc8tZqI1bT8U0Ac0DWTU/edit?usp=sharing"",""REGISTRATION!C:V""),18,FALSE),"""")"),"Animal fur")</f>
        <v>Animal fur</v>
      </c>
      <c r="G189" s="32" t="str">
        <f>IFERROR(__xludf.DUMMYFUNCTION("IFNA(VLOOKUP(C189,IMPORTRANGE(""https://docs.google.com/spreadsheets/d/1rG8iy-kKSFDxhVaU60GJ2bpXc8tZqI1bT8U0Ac0DWTU/edit?usp=sharing"",""REGISTRATION!C:V""),20,FALSE),"""")"),"")</f>
        <v/>
      </c>
      <c r="H189" s="32" t="str">
        <f>IFERROR(__xludf.DUMMYFUNCTION("IFNA(VLOOKUP(C189,IMPORTRANGE(""https://docs.google.com/spreadsheets/d/1rG8iy-kKSFDxhVaU60GJ2bpXc8tZqI1bT8U0Ac0DWTU/edit?usp=sharing"",""REGISTRATION!C:V""),19,FALSE),"""")"),"None")</f>
        <v>None</v>
      </c>
    </row>
    <row r="190">
      <c r="C190" s="31" t="s">
        <v>136</v>
      </c>
      <c r="D190" s="32" t="str">
        <f>IFERROR(__xludf.DUMMYFUNCTION("IFNA(
IF(
VLOOKUP(C190,IMPORTRANGE(""https://docs.google.com/spreadsheets/d/1rG8iy-kKSFDxhVaU60GJ2bpXc8tZqI1bT8U0Ac0DWTU/edit?usp=sharing"",""REGISTRATION!C:X""),22,FALSE)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90" s="33" t="str">
        <f>IFERROR(__xludf.DUMMYFUNCTION("IFNA(
IF(
VLOOKUP(C190,IMPORTRANGE(""https://docs.google.com/spreadsheets/d/1rG8iy-kKSFDxhVaU60GJ2bpXc8tZqI1bT8U0Ac0DWTU/edit?usp=sharing"",""REGISTRATION!C:AB""),26,FALSE)
=""No"",
""No Candy"",
""""
),
""""
)"),"")</f>
        <v/>
      </c>
      <c r="F190" s="32" t="str">
        <f>IFERROR(__xludf.DUMMYFUNCTION("IFNA(VLOOKUP(C190,IMPORTRANGE(""https://docs.google.com/spreadsheets/d/1rG8iy-kKSFDxhVaU60GJ2bpXc8tZqI1bT8U0Ac0DWTU/edit?usp=sharing"",""REGISTRATION!C:V""),18,FALSE),"""")"),"None")</f>
        <v>None</v>
      </c>
      <c r="G190" s="32" t="str">
        <f>IFERROR(__xludf.DUMMYFUNCTION("IFNA(VLOOKUP(C190,IMPORTRANGE(""https://docs.google.com/spreadsheets/d/1rG8iy-kKSFDxhVaU60GJ2bpXc8tZqI1bT8U0Ac0DWTU/edit?usp=sharing"",""REGISTRATION!C:V""),20,FALSE),"""")"),"")</f>
        <v/>
      </c>
      <c r="H190" s="32" t="str">
        <f>IFERROR(__xludf.DUMMYFUNCTION("IFNA(VLOOKUP(C190,IMPORTRANGE(""https://docs.google.com/spreadsheets/d/1rG8iy-kKSFDxhVaU60GJ2bpXc8tZqI1bT8U0Ac0DWTU/edit?usp=sharing"",""REGISTRATION!C:V""),19,FALSE),"""")"),"None")</f>
        <v>None</v>
      </c>
    </row>
    <row r="191">
      <c r="C191" s="31" t="s">
        <v>194</v>
      </c>
      <c r="D191" s="32" t="str">
        <f>IFERROR(__xludf.DUMMYFUNCTION("IFNA(
IF(
VLOOKUP(C191,IMPORTRANGE(""https://docs.google.com/spreadsheets/d/1rG8iy-kKSFDxhVaU60GJ2bpXc8tZqI1bT8U0Ac0DWTU/edit?usp=sharing"",""REGISTRATION!C:X""),22,FALSE)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91" s="33" t="str">
        <f>IFERROR(__xludf.DUMMYFUNCTION("IFNA(
IF(
VLOOKUP(C191,IMPORTRANGE(""https://docs.google.com/spreadsheets/d/1rG8iy-kKSFDxhVaU60GJ2bpXc8tZqI1bT8U0Ac0DWTU/edit?usp=sharing"",""REGISTRATION!C:AB""),26,FALSE)
=""No"",
""No Candy"",
""""
),
""""
)"),"")</f>
        <v/>
      </c>
      <c r="F191" s="32" t="str">
        <f>IFERROR(__xludf.DUMMYFUNCTION("IFNA(VLOOKUP(C191,IMPORTRANGE(""https://docs.google.com/spreadsheets/d/1rG8iy-kKSFDxhVaU60GJ2bpXc8tZqI1bT8U0Ac0DWTU/edit?usp=sharing"",""REGISTRATION!C:V""),18,FALSE),"""")"),"None")</f>
        <v>None</v>
      </c>
      <c r="G191" s="32" t="str">
        <f>IFERROR(__xludf.DUMMYFUNCTION("IFNA(VLOOKUP(C191,IMPORTRANGE(""https://docs.google.com/spreadsheets/d/1rG8iy-kKSFDxhVaU60GJ2bpXc8tZqI1bT8U0Ac0DWTU/edit?usp=sharing"",""REGISTRATION!C:V""),20,FALSE),"""")"),"")</f>
        <v/>
      </c>
      <c r="H191" s="32" t="str">
        <f>IFERROR(__xludf.DUMMYFUNCTION("IFNA(VLOOKUP(C191,IMPORTRANGE(""https://docs.google.com/spreadsheets/d/1rG8iy-kKSFDxhVaU60GJ2bpXc8tZqI1bT8U0Ac0DWTU/edit?usp=sharing"",""REGISTRATION!C:V""),19,FALSE),"""")"),"None")</f>
        <v>None</v>
      </c>
    </row>
    <row r="192">
      <c r="C192" s="31" t="s">
        <v>170</v>
      </c>
      <c r="D192" s="32" t="str">
        <f>IFERROR(__xludf.DUMMYFUNCTION("IFNA(
IF(
VLOOKUP(C192,IMPORTRANGE(""https://docs.google.com/spreadsheets/d/1rG8iy-kKSFDxhVaU60GJ2bpXc8tZqI1bT8U0Ac0DWTU/edit?usp=sharing"",""REGISTRATION!C:X""),22,FALSE)
=""I qualify for Free and Reduced Lunch and WOULD like lunch to be provided for my "&amp;"child."",
""Yes"",
""""
),
""""
)"),"Yes")</f>
        <v>Yes</v>
      </c>
      <c r="E192" s="33" t="str">
        <f>IFERROR(__xludf.DUMMYFUNCTION("IFNA(
IF(
VLOOKUP(C192,IMPORTRANGE(""https://docs.google.com/spreadsheets/d/1rG8iy-kKSFDxhVaU60GJ2bpXc8tZqI1bT8U0Ac0DWTU/edit?usp=sharing"",""REGISTRATION!C:AB""),26,FALSE)
=""No"",
""No Candy"",
""""
),
""""
)"),"")</f>
        <v/>
      </c>
      <c r="F192" s="32" t="str">
        <f>IFERROR(__xludf.DUMMYFUNCTION("IFNA(VLOOKUP(C192,IMPORTRANGE(""https://docs.google.com/spreadsheets/d/1rG8iy-kKSFDxhVaU60GJ2bpXc8tZqI1bT8U0Ac0DWTU/edit?usp=sharing"",""REGISTRATION!C:V""),18,FALSE),"""")"),"None")</f>
        <v>None</v>
      </c>
      <c r="G192" s="32" t="str">
        <f>IFERROR(__xludf.DUMMYFUNCTION("IFNA(VLOOKUP(C192,IMPORTRANGE(""https://docs.google.com/spreadsheets/d/1rG8iy-kKSFDxhVaU60GJ2bpXc8tZqI1bT8U0Ac0DWTU/edit?usp=sharing"",""REGISTRATION!C:V""),20,FALSE),"""")"),"")</f>
        <v/>
      </c>
      <c r="H192" s="32" t="str">
        <f>IFERROR(__xludf.DUMMYFUNCTION("IFNA(VLOOKUP(C192,IMPORTRANGE(""https://docs.google.com/spreadsheets/d/1rG8iy-kKSFDxhVaU60GJ2bpXc8tZqI1bT8U0Ac0DWTU/edit?usp=sharing"",""REGISTRATION!C:V""),19,FALSE),"""")"),"None")</f>
        <v>None</v>
      </c>
    </row>
    <row r="193">
      <c r="C193" s="31" t="s">
        <v>144</v>
      </c>
      <c r="D193" s="32" t="str">
        <f>IFERROR(__xludf.DUMMYFUNCTION("IFNA(
IF(
VLOOKUP(C193,IMPORTRANGE(""https://docs.google.com/spreadsheets/d/1rG8iy-kKSFDxhVaU60GJ2bpXc8tZqI1bT8U0Ac0DWTU/edit?usp=sharing"",""REGISTRATION!C:X""),22,FALSE)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93" s="33" t="str">
        <f>IFERROR(__xludf.DUMMYFUNCTION("IFNA(
IF(
VLOOKUP(C193,IMPORTRANGE(""https://docs.google.com/spreadsheets/d/1rG8iy-kKSFDxhVaU60GJ2bpXc8tZqI1bT8U0Ac0DWTU/edit?usp=sharing"",""REGISTRATION!C:AB""),26,FALSE)
=""No"",
""No Candy"",
""""
),
""""
)"),"")</f>
        <v/>
      </c>
      <c r="F193" s="32" t="str">
        <f>IFERROR(__xludf.DUMMYFUNCTION("IFNA(VLOOKUP(C193,IMPORTRANGE(""https://docs.google.com/spreadsheets/d/1rG8iy-kKSFDxhVaU60GJ2bpXc8tZqI1bT8U0Ac0DWTU/edit?usp=sharing"",""REGISTRATION!C:V""),18,FALSE),"""")"),"None")</f>
        <v>None</v>
      </c>
      <c r="G193" s="32" t="str">
        <f>IFERROR(__xludf.DUMMYFUNCTION("IFNA(VLOOKUP(C193,IMPORTRANGE(""https://docs.google.com/spreadsheets/d/1rG8iy-kKSFDxhVaU60GJ2bpXc8tZqI1bT8U0Ac0DWTU/edit?usp=sharing"",""REGISTRATION!C:V""),20,FALSE),"""")"),"")</f>
        <v/>
      </c>
      <c r="H193" s="32" t="str">
        <f>IFERROR(__xludf.DUMMYFUNCTION("IFNA(VLOOKUP(C193,IMPORTRANGE(""https://docs.google.com/spreadsheets/d/1rG8iy-kKSFDxhVaU60GJ2bpXc8tZqI1bT8U0Ac0DWTU/edit?usp=sharing"",""REGISTRATION!C:V""),19,FALSE),"""")"),"None")</f>
        <v>None</v>
      </c>
    </row>
    <row r="194">
      <c r="C194" s="31" t="s">
        <v>145</v>
      </c>
      <c r="D194" s="32" t="str">
        <f>IFERROR(__xludf.DUMMYFUNCTION("IFNA(
IF(
VLOOKUP(C194,IMPORTRANGE(""https://docs.google.com/spreadsheets/d/1rG8iy-kKSFDxhVaU60GJ2bpXc8tZqI1bT8U0Ac0DWTU/edit?usp=sharing"",""REGISTRATION!C:X""),22,FALSE)
=""I qualify for Free and Reduced Lunch and WOULD like lunch to be provided for my "&amp;"child."",
""Yes"",
""""
),
""""
)"),"Yes")</f>
        <v>Yes</v>
      </c>
      <c r="E194" s="33" t="str">
        <f>IFERROR(__xludf.DUMMYFUNCTION("IFNA(
IF(
VLOOKUP(C194,IMPORTRANGE(""https://docs.google.com/spreadsheets/d/1rG8iy-kKSFDxhVaU60GJ2bpXc8tZqI1bT8U0Ac0DWTU/edit?usp=sharing"",""REGISTRATION!C:AB""),26,FALSE)
=""No"",
""No Candy"",
""""
),
""""
)"),"")</f>
        <v/>
      </c>
      <c r="F194" s="32" t="str">
        <f>IFERROR(__xludf.DUMMYFUNCTION("IFNA(VLOOKUP(C194,IMPORTRANGE(""https://docs.google.com/spreadsheets/d/1rG8iy-kKSFDxhVaU60GJ2bpXc8tZqI1bT8U0Ac0DWTU/edit?usp=sharing"",""REGISTRATION!C:V""),18,FALSE),"""")"),"None")</f>
        <v>None</v>
      </c>
      <c r="G194" s="32" t="str">
        <f>IFERROR(__xludf.DUMMYFUNCTION("IFNA(VLOOKUP(C194,IMPORTRANGE(""https://docs.google.com/spreadsheets/d/1rG8iy-kKSFDxhVaU60GJ2bpXc8tZqI1bT8U0Ac0DWTU/edit?usp=sharing"",""REGISTRATION!C:V""),20,FALSE),"""")"),"")</f>
        <v/>
      </c>
      <c r="H194" s="32" t="str">
        <f>IFERROR(__xludf.DUMMYFUNCTION("IFNA(VLOOKUP(C194,IMPORTRANGE(""https://docs.google.com/spreadsheets/d/1rG8iy-kKSFDxhVaU60GJ2bpXc8tZqI1bT8U0Ac0DWTU/edit?usp=sharing"",""REGISTRATION!C:V""),19,FALSE),"""")"),"None")</f>
        <v>None</v>
      </c>
    </row>
    <row r="195">
      <c r="C195" s="31"/>
      <c r="D195" s="32" t="str">
        <f>IFERROR(__xludf.DUMMYFUNCTION("IFNA(
IF(
VLOOKUP(C195,IMPORTRANGE(""https://docs.google.com/spreadsheets/d/1rG8iy-kKSFDxhVaU60GJ2bpXc8tZqI1bT8U0Ac0DWTU/edit?usp=sharing"",""REGISTRATION!C:X""),22,FALSE)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95" s="33" t="str">
        <f>IFERROR(__xludf.DUMMYFUNCTION("IFNA(
IF(
VLOOKUP(C195,IMPORTRANGE(""https://docs.google.com/spreadsheets/d/1rG8iy-kKSFDxhVaU60GJ2bpXc8tZqI1bT8U0Ac0DWTU/edit?usp=sharing"",""REGISTRATION!C:AB""),26,FALSE)
=""No"",
""No Candy"",
""""
),
""""
)"),"")</f>
        <v/>
      </c>
      <c r="F195" s="32" t="str">
        <f>IFERROR(__xludf.DUMMYFUNCTION("IFNA(VLOOKUP(C195,IMPORTRANGE(""https://docs.google.com/spreadsheets/d/1rG8iy-kKSFDxhVaU60GJ2bpXc8tZqI1bT8U0Ac0DWTU/edit?usp=sharing"",""REGISTRATION!C:V""),18,FALSE),"""")"),"")</f>
        <v/>
      </c>
      <c r="G195" s="32" t="str">
        <f>IFERROR(__xludf.DUMMYFUNCTION("IFNA(VLOOKUP(C195,IMPORTRANGE(""https://docs.google.com/spreadsheets/d/1rG8iy-kKSFDxhVaU60GJ2bpXc8tZqI1bT8U0Ac0DWTU/edit?usp=sharing"",""REGISTRATION!C:V""),20,FALSE),"""")"),"")</f>
        <v/>
      </c>
      <c r="H195" s="32" t="str">
        <f>IFERROR(__xludf.DUMMYFUNCTION("IFNA(VLOOKUP(C195,IMPORTRANGE(""https://docs.google.com/spreadsheets/d/1rG8iy-kKSFDxhVaU60GJ2bpXc8tZqI1bT8U0Ac0DWTU/edit?usp=sharing"",""REGISTRATION!C:V""),19,FALSE),"""")"),"")</f>
        <v/>
      </c>
    </row>
    <row r="196">
      <c r="C196" s="31"/>
      <c r="D196" s="32" t="str">
        <f>IFERROR(__xludf.DUMMYFUNCTION("IFNA(
IF(
VLOOKUP(C196,IMPORTRANGE(""https://docs.google.com/spreadsheets/d/1rG8iy-kKSFDxhVaU60GJ2bpXc8tZqI1bT8U0Ac0DWTU/edit?usp=sharing"",""REGISTRATION!C:X""),22,FALSE)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96" s="33" t="str">
        <f>IFERROR(__xludf.DUMMYFUNCTION("IFNA(
IF(
VLOOKUP(C196,IMPORTRANGE(""https://docs.google.com/spreadsheets/d/1rG8iy-kKSFDxhVaU60GJ2bpXc8tZqI1bT8U0Ac0DWTU/edit?usp=sharing"",""REGISTRATION!C:AB""),26,FALSE)
=""No"",
""No Candy"",
""""
),
""""
)"),"")</f>
        <v/>
      </c>
      <c r="F196" s="32" t="str">
        <f>IFERROR(__xludf.DUMMYFUNCTION("IFNA(VLOOKUP(C196,IMPORTRANGE(""https://docs.google.com/spreadsheets/d/1rG8iy-kKSFDxhVaU60GJ2bpXc8tZqI1bT8U0Ac0DWTU/edit?usp=sharing"",""REGISTRATION!C:V""),18,FALSE),"""")"),"")</f>
        <v/>
      </c>
      <c r="G196" s="32" t="str">
        <f>IFERROR(__xludf.DUMMYFUNCTION("IFNA(VLOOKUP(C196,IMPORTRANGE(""https://docs.google.com/spreadsheets/d/1rG8iy-kKSFDxhVaU60GJ2bpXc8tZqI1bT8U0Ac0DWTU/edit?usp=sharing"",""REGISTRATION!C:V""),20,FALSE),"""")"),"")</f>
        <v/>
      </c>
      <c r="H196" s="32" t="str">
        <f>IFERROR(__xludf.DUMMYFUNCTION("IFNA(VLOOKUP(C196,IMPORTRANGE(""https://docs.google.com/spreadsheets/d/1rG8iy-kKSFDxhVaU60GJ2bpXc8tZqI1bT8U0Ac0DWTU/edit?usp=sharing"",""REGISTRATION!C:V""),19,FALSE),"""")"),"")</f>
        <v/>
      </c>
    </row>
    <row r="197">
      <c r="C197" s="75"/>
      <c r="D197" s="32" t="str">
        <f>IFERROR(__xludf.DUMMYFUNCTION("IFNA(
IF(
VLOOKUP(C197,IMPORTRANGE(""https://docs.google.com/spreadsheets/d/1rG8iy-kKSFDxhVaU60GJ2bpXc8tZqI1bT8U0Ac0DWTU/edit?usp=sharing"",""REGISTRATION!C:X""),22,FALSE)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97" s="33" t="str">
        <f>IFERROR(__xludf.DUMMYFUNCTION("IFNA(
IF(
VLOOKUP(C197,IMPORTRANGE(""https://docs.google.com/spreadsheets/d/1rG8iy-kKSFDxhVaU60GJ2bpXc8tZqI1bT8U0Ac0DWTU/edit?usp=sharing"",""REGISTRATION!C:AB""),26,FALSE)
=""No"",
""No Candy"",
""""
),
""""
)"),"")</f>
        <v/>
      </c>
      <c r="F197" s="32" t="str">
        <f>IFERROR(__xludf.DUMMYFUNCTION("IFNA(VLOOKUP(C197,IMPORTRANGE(""https://docs.google.com/spreadsheets/d/1rG8iy-kKSFDxhVaU60GJ2bpXc8tZqI1bT8U0Ac0DWTU/edit?usp=sharing"",""REGISTRATION!C:V""),18,FALSE),"""")"),"")</f>
        <v/>
      </c>
      <c r="G197" s="32" t="str">
        <f>IFERROR(__xludf.DUMMYFUNCTION("IFNA(VLOOKUP(C197,IMPORTRANGE(""https://docs.google.com/spreadsheets/d/1rG8iy-kKSFDxhVaU60GJ2bpXc8tZqI1bT8U0Ac0DWTU/edit?usp=sharing"",""REGISTRATION!C:V""),20,FALSE),"""")"),"")</f>
        <v/>
      </c>
      <c r="H197" s="32" t="str">
        <f>IFERROR(__xludf.DUMMYFUNCTION("IFNA(VLOOKUP(C197,IMPORTRANGE(""https://docs.google.com/spreadsheets/d/1rG8iy-kKSFDxhVaU60GJ2bpXc8tZqI1bT8U0Ac0DWTU/edit?usp=sharing"",""REGISTRATION!C:V""),19,FALSE),"""")"),"")</f>
        <v/>
      </c>
    </row>
    <row r="198">
      <c r="C198" s="75"/>
      <c r="D198" s="32" t="str">
        <f>IFERROR(__xludf.DUMMYFUNCTION("IFNA(
IF(
VLOOKUP(C198,IMPORTRANGE(""https://docs.google.com/spreadsheets/d/1rG8iy-kKSFDxhVaU60GJ2bpXc8tZqI1bT8U0Ac0DWTU/edit?usp=sharing"",""REGISTRATION!C:X""),22,FALSE)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98" s="33" t="str">
        <f>IFERROR(__xludf.DUMMYFUNCTION("IFNA(
IF(
VLOOKUP(C198,IMPORTRANGE(""https://docs.google.com/spreadsheets/d/1rG8iy-kKSFDxhVaU60GJ2bpXc8tZqI1bT8U0Ac0DWTU/edit?usp=sharing"",""REGISTRATION!C:AB""),26,FALSE)
=""No"",
""No Candy"",
""""
),
""""
)"),"")</f>
        <v/>
      </c>
      <c r="F198" s="32" t="str">
        <f>IFERROR(__xludf.DUMMYFUNCTION("IFNA(VLOOKUP(C198,IMPORTRANGE(""https://docs.google.com/spreadsheets/d/1rG8iy-kKSFDxhVaU60GJ2bpXc8tZqI1bT8U0Ac0DWTU/edit?usp=sharing"",""REGISTRATION!C:V""),18,FALSE),"""")"),"")</f>
        <v/>
      </c>
      <c r="G198" s="32" t="str">
        <f>IFERROR(__xludf.DUMMYFUNCTION("IFNA(VLOOKUP(C198,IMPORTRANGE(""https://docs.google.com/spreadsheets/d/1rG8iy-kKSFDxhVaU60GJ2bpXc8tZqI1bT8U0Ac0DWTU/edit?usp=sharing"",""REGISTRATION!C:V""),20,FALSE),"""")"),"")</f>
        <v/>
      </c>
      <c r="H198" s="32" t="str">
        <f>IFERROR(__xludf.DUMMYFUNCTION("IFNA(VLOOKUP(C198,IMPORTRANGE(""https://docs.google.com/spreadsheets/d/1rG8iy-kKSFDxhVaU60GJ2bpXc8tZqI1bT8U0Ac0DWTU/edit?usp=sharing"",""REGISTRATION!C:V""),19,FALSE),"""")"),"")</f>
        <v/>
      </c>
    </row>
    <row r="199">
      <c r="C199" s="31"/>
      <c r="D199" s="32" t="str">
        <f>IFERROR(__xludf.DUMMYFUNCTION("IFNA(
IF(
VLOOKUP(C199,IMPORTRANGE(""https://docs.google.com/spreadsheets/d/1rG8iy-kKSFDxhVaU60GJ2bpXc8tZqI1bT8U0Ac0DWTU/edit?usp=sharing"",""REGISTRATION!C:X""),22,FALSE)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199" s="33" t="str">
        <f>IFERROR(__xludf.DUMMYFUNCTION("IFNA(
IF(
VLOOKUP(C199,IMPORTRANGE(""https://docs.google.com/spreadsheets/d/1rG8iy-kKSFDxhVaU60GJ2bpXc8tZqI1bT8U0Ac0DWTU/edit?usp=sharing"",""REGISTRATION!C:AB""),26,FALSE)
=""No"",
""No Candy"",
""""
),
""""
)"),"")</f>
        <v/>
      </c>
      <c r="F199" s="32" t="str">
        <f>IFERROR(__xludf.DUMMYFUNCTION("IFNA(VLOOKUP(C199,IMPORTRANGE(""https://docs.google.com/spreadsheets/d/1rG8iy-kKSFDxhVaU60GJ2bpXc8tZqI1bT8U0Ac0DWTU/edit?usp=sharing"",""REGISTRATION!C:V""),18,FALSE),"""")"),"")</f>
        <v/>
      </c>
      <c r="G199" s="32" t="str">
        <f>IFERROR(__xludf.DUMMYFUNCTION("IFNA(VLOOKUP(C199,IMPORTRANGE(""https://docs.google.com/spreadsheets/d/1rG8iy-kKSFDxhVaU60GJ2bpXc8tZqI1bT8U0Ac0DWTU/edit?usp=sharing"",""REGISTRATION!C:V""),20,FALSE),"""")"),"")</f>
        <v/>
      </c>
      <c r="H199" s="32" t="str">
        <f>IFERROR(__xludf.DUMMYFUNCTION("IFNA(VLOOKUP(C199,IMPORTRANGE(""https://docs.google.com/spreadsheets/d/1rG8iy-kKSFDxhVaU60GJ2bpXc8tZqI1bT8U0Ac0DWTU/edit?usp=sharing"",""REGISTRATION!C:V""),19,FALSE),"""")"),"")</f>
        <v/>
      </c>
    </row>
    <row r="200">
      <c r="C200" s="31"/>
      <c r="D200" s="32" t="str">
        <f>IFERROR(__xludf.DUMMYFUNCTION("IFNA(
IF(
VLOOKUP(C200,IMPORTRANGE(""https://docs.google.com/spreadsheets/d/1rG8iy-kKSFDxhVaU60GJ2bpXc8tZqI1bT8U0Ac0DWTU/edit?usp=sharing"",""REGISTRATION!C:X""),22,FALSE)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00" s="33" t="str">
        <f>IFERROR(__xludf.DUMMYFUNCTION("IFNA(
IF(
VLOOKUP(C200,IMPORTRANGE(""https://docs.google.com/spreadsheets/d/1rG8iy-kKSFDxhVaU60GJ2bpXc8tZqI1bT8U0Ac0DWTU/edit?usp=sharing"",""REGISTRATION!C:AB""),26,FALSE)
=""No"",
""No Candy"",
""""
),
""""
)"),"")</f>
        <v/>
      </c>
      <c r="F200" s="32" t="str">
        <f>IFERROR(__xludf.DUMMYFUNCTION("IFNA(VLOOKUP(C200,IMPORTRANGE(""https://docs.google.com/spreadsheets/d/1rG8iy-kKSFDxhVaU60GJ2bpXc8tZqI1bT8U0Ac0DWTU/edit?usp=sharing"",""REGISTRATION!C:V""),18,FALSE),"""")"),"")</f>
        <v/>
      </c>
      <c r="G200" s="32" t="str">
        <f>IFERROR(__xludf.DUMMYFUNCTION("IFNA(VLOOKUP(C200,IMPORTRANGE(""https://docs.google.com/spreadsheets/d/1rG8iy-kKSFDxhVaU60GJ2bpXc8tZqI1bT8U0Ac0DWTU/edit?usp=sharing"",""REGISTRATION!C:V""),20,FALSE),"""")"),"")</f>
        <v/>
      </c>
      <c r="H200" s="32" t="str">
        <f>IFERROR(__xludf.DUMMYFUNCTION("IFNA(VLOOKUP(C200,IMPORTRANGE(""https://docs.google.com/spreadsheets/d/1rG8iy-kKSFDxhVaU60GJ2bpXc8tZqI1bT8U0Ac0DWTU/edit?usp=sharing"",""REGISTRATION!C:V""),19,FALSE),"""")"),"")</f>
        <v/>
      </c>
    </row>
    <row r="201">
      <c r="C201" s="31"/>
      <c r="D201" s="32" t="str">
        <f>IFERROR(__xludf.DUMMYFUNCTION("IFNA(
IF(
VLOOKUP(C201,IMPORTRANGE(""https://docs.google.com/spreadsheets/d/1rG8iy-kKSFDxhVaU60GJ2bpXc8tZqI1bT8U0Ac0DWTU/edit?usp=sharing"",""REGISTRATION!C:X""),22,FALSE)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01" s="33" t="str">
        <f>IFERROR(__xludf.DUMMYFUNCTION("IFNA(
IF(
VLOOKUP(C201,IMPORTRANGE(""https://docs.google.com/spreadsheets/d/1rG8iy-kKSFDxhVaU60GJ2bpXc8tZqI1bT8U0Ac0DWTU/edit?usp=sharing"",""REGISTRATION!C:AB""),26,FALSE)
=""No"",
""No Candy"",
""""
),
""""
)"),"")</f>
        <v/>
      </c>
      <c r="F201" s="32" t="str">
        <f>IFERROR(__xludf.DUMMYFUNCTION("IFNA(VLOOKUP(C201,IMPORTRANGE(""https://docs.google.com/spreadsheets/d/1rG8iy-kKSFDxhVaU60GJ2bpXc8tZqI1bT8U0Ac0DWTU/edit?usp=sharing"",""REGISTRATION!C:V""),18,FALSE),"""")"),"")</f>
        <v/>
      </c>
      <c r="G201" s="32" t="str">
        <f>IFERROR(__xludf.DUMMYFUNCTION("IFNA(VLOOKUP(C201,IMPORTRANGE(""https://docs.google.com/spreadsheets/d/1rG8iy-kKSFDxhVaU60GJ2bpXc8tZqI1bT8U0Ac0DWTU/edit?usp=sharing"",""REGISTRATION!C:V""),20,FALSE),"""")"),"")</f>
        <v/>
      </c>
      <c r="H201" s="32" t="str">
        <f>IFERROR(__xludf.DUMMYFUNCTION("IFNA(VLOOKUP(C201,IMPORTRANGE(""https://docs.google.com/spreadsheets/d/1rG8iy-kKSFDxhVaU60GJ2bpXc8tZqI1bT8U0Ac0DWTU/edit?usp=sharing"",""REGISTRATION!C:V""),19,FALSE),"""")"),"")</f>
        <v/>
      </c>
    </row>
    <row r="202">
      <c r="C202" s="31"/>
      <c r="D202" s="32" t="str">
        <f>IFERROR(__xludf.DUMMYFUNCTION("IFNA(
IF(
VLOOKUP(C202,IMPORTRANGE(""https://docs.google.com/spreadsheets/d/1rG8iy-kKSFDxhVaU60GJ2bpXc8tZqI1bT8U0Ac0DWTU/edit?usp=sharing"",""REGISTRATION!C:X""),22,FALSE)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02" s="33" t="str">
        <f>IFERROR(__xludf.DUMMYFUNCTION("IFNA(
IF(
VLOOKUP(C202,IMPORTRANGE(""https://docs.google.com/spreadsheets/d/1rG8iy-kKSFDxhVaU60GJ2bpXc8tZqI1bT8U0Ac0DWTU/edit?usp=sharing"",""REGISTRATION!C:AB""),26,FALSE)
=""No"",
""No Candy"",
""""
),
""""
)"),"")</f>
        <v/>
      </c>
      <c r="F202" s="32" t="str">
        <f>IFERROR(__xludf.DUMMYFUNCTION("IFNA(VLOOKUP(C202,IMPORTRANGE(""https://docs.google.com/spreadsheets/d/1rG8iy-kKSFDxhVaU60GJ2bpXc8tZqI1bT8U0Ac0DWTU/edit?usp=sharing"",""REGISTRATION!C:V""),18,FALSE),"""")"),"")</f>
        <v/>
      </c>
      <c r="G202" s="32" t="str">
        <f>IFERROR(__xludf.DUMMYFUNCTION("IFNA(VLOOKUP(C202,IMPORTRANGE(""https://docs.google.com/spreadsheets/d/1rG8iy-kKSFDxhVaU60GJ2bpXc8tZqI1bT8U0Ac0DWTU/edit?usp=sharing"",""REGISTRATION!C:V""),20,FALSE),"""")"),"")</f>
        <v/>
      </c>
      <c r="H202" s="32" t="str">
        <f>IFERROR(__xludf.DUMMYFUNCTION("IFNA(VLOOKUP(C202,IMPORTRANGE(""https://docs.google.com/spreadsheets/d/1rG8iy-kKSFDxhVaU60GJ2bpXc8tZqI1bT8U0Ac0DWTU/edit?usp=sharing"",""REGISTRATION!C:V""),19,FALSE),"""")"),"")</f>
        <v/>
      </c>
    </row>
    <row r="203">
      <c r="C203" s="31"/>
      <c r="D203" s="32" t="str">
        <f>IFERROR(__xludf.DUMMYFUNCTION("IFNA(
IF(
VLOOKUP(C203,IMPORTRANGE(""https://docs.google.com/spreadsheets/d/1rG8iy-kKSFDxhVaU60GJ2bpXc8tZqI1bT8U0Ac0DWTU/edit?usp=sharing"",""REGISTRATION!C:X""),22,FALSE)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03" s="33" t="str">
        <f>IFERROR(__xludf.DUMMYFUNCTION("IFNA(
IF(
VLOOKUP(C203,IMPORTRANGE(""https://docs.google.com/spreadsheets/d/1rG8iy-kKSFDxhVaU60GJ2bpXc8tZqI1bT8U0Ac0DWTU/edit?usp=sharing"",""REGISTRATION!C:AB""),26,FALSE)
=""No"",
""No Candy"",
""""
),
""""
)"),"")</f>
        <v/>
      </c>
      <c r="F203" s="32" t="str">
        <f>IFERROR(__xludf.DUMMYFUNCTION("IFNA(VLOOKUP(C203,IMPORTRANGE(""https://docs.google.com/spreadsheets/d/1rG8iy-kKSFDxhVaU60GJ2bpXc8tZqI1bT8U0Ac0DWTU/edit?usp=sharing"",""REGISTRATION!C:V""),18,FALSE),"""")"),"")</f>
        <v/>
      </c>
      <c r="G203" s="32" t="str">
        <f>IFERROR(__xludf.DUMMYFUNCTION("IFNA(VLOOKUP(C203,IMPORTRANGE(""https://docs.google.com/spreadsheets/d/1rG8iy-kKSFDxhVaU60GJ2bpXc8tZqI1bT8U0Ac0DWTU/edit?usp=sharing"",""REGISTRATION!C:V""),20,FALSE),"""")"),"")</f>
        <v/>
      </c>
      <c r="H203" s="32" t="str">
        <f>IFERROR(__xludf.DUMMYFUNCTION("IFNA(VLOOKUP(C203,IMPORTRANGE(""https://docs.google.com/spreadsheets/d/1rG8iy-kKSFDxhVaU60GJ2bpXc8tZqI1bT8U0Ac0DWTU/edit?usp=sharing"",""REGISTRATION!C:V""),19,FALSE),"""")"),"")</f>
        <v/>
      </c>
    </row>
    <row r="204">
      <c r="A204" s="15" t="s">
        <v>181</v>
      </c>
      <c r="B204" s="15" t="s">
        <v>262</v>
      </c>
      <c r="C204" s="20" t="s">
        <v>121</v>
      </c>
      <c r="D204" s="21" t="str">
        <f>IFERROR(__xludf.DUMMYFUNCTION("IFNA(
IF(
VLOOKUP(C204,IMPORTRANGE(""https://docs.google.com/spreadsheets/d/1rG8iy-kKSFDxhVaU60GJ2bpXc8tZqI1bT8U0Ac0DWTU/edit?usp=sharing"",""REGISTRATION!C:X""),22,FALSE)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04" s="22" t="str">
        <f>IFERROR(__xludf.DUMMYFUNCTION("IFNA(
IF(
VLOOKUP(C204,IMPORTRANGE(""https://docs.google.com/spreadsheets/d/1rG8iy-kKSFDxhVaU60GJ2bpXc8tZqI1bT8U0Ac0DWTU/edit?usp=sharing"",""REGISTRATION!C:AB""),26,FALSE)
=""No"",
""No Candy"",
""""
),
""""
)"),"")</f>
        <v/>
      </c>
      <c r="F204" s="21" t="str">
        <f>IFERROR(__xludf.DUMMYFUNCTION("IFNA(VLOOKUP(C204,IMPORTRANGE(""https://docs.google.com/spreadsheets/d/1rG8iy-kKSFDxhVaU60GJ2bpXc8tZqI1bT8U0Ac0DWTU/edit?usp=sharing"",""REGISTRATION!C:V""),18,FALSE),"""")"),"Vegetarian")</f>
        <v>Vegetarian</v>
      </c>
      <c r="G204" s="21" t="str">
        <f>IFERROR(__xludf.DUMMYFUNCTION("IFNA(VLOOKUP(C204,IMPORTRANGE(""https://docs.google.com/spreadsheets/d/1rG8iy-kKSFDxhVaU60GJ2bpXc8tZqI1bT8U0Ac0DWTU/edit?usp=sharing"",""REGISTRATION!C:V""),20,FALSE),"""")"),"")</f>
        <v/>
      </c>
      <c r="H204" s="21" t="str">
        <f>IFERROR(__xludf.DUMMYFUNCTION("IFNA(VLOOKUP(C204,IMPORTRANGE(""https://docs.google.com/spreadsheets/d/1rG8iy-kKSFDxhVaU60GJ2bpXc8tZqI1bT8U0Ac0DWTU/edit?usp=sharing"",""REGISTRATION!C:V""),19,FALSE),"""")"),"None")</f>
        <v>None</v>
      </c>
    </row>
    <row r="205">
      <c r="C205" s="20" t="s">
        <v>89</v>
      </c>
      <c r="D205" s="21" t="str">
        <f>IFERROR(__xludf.DUMMYFUNCTION("IFNA(
IF(
VLOOKUP(C205,IMPORTRANGE(""https://docs.google.com/spreadsheets/d/1rG8iy-kKSFDxhVaU60GJ2bpXc8tZqI1bT8U0Ac0DWTU/edit?usp=sharing"",""REGISTRATION!C:X""),22,FALSE)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05" s="22" t="str">
        <f>IFERROR(__xludf.DUMMYFUNCTION("IFNA(
IF(
VLOOKUP(C205,IMPORTRANGE(""https://docs.google.com/spreadsheets/d/1rG8iy-kKSFDxhVaU60GJ2bpXc8tZqI1bT8U0Ac0DWTU/edit?usp=sharing"",""REGISTRATION!C:AB""),26,FALSE)
=""No"",
""No Candy"",
""""
),
""""
)"),"")</f>
        <v/>
      </c>
      <c r="F205" s="21" t="str">
        <f>IFERROR(__xludf.DUMMYFUNCTION("IFNA(VLOOKUP(C205,IMPORTRANGE(""https://docs.google.com/spreadsheets/d/1rG8iy-kKSFDxhVaU60GJ2bpXc8tZqI1bT8U0Ac0DWTU/edit?usp=sharing"",""REGISTRATION!C:V""),18,FALSE),"""")"),"No beef or pork, please.")</f>
        <v>No beef or pork, please.</v>
      </c>
      <c r="G205" s="21" t="str">
        <f>IFERROR(__xludf.DUMMYFUNCTION("IFNA(VLOOKUP(C205,IMPORTRANGE(""https://docs.google.com/spreadsheets/d/1rG8iy-kKSFDxhVaU60GJ2bpXc8tZqI1bT8U0Ac0DWTU/edit?usp=sharing"",""REGISTRATION!C:V""),20,FALSE),"""")"),"")</f>
        <v/>
      </c>
      <c r="H205" s="21" t="str">
        <f>IFERROR(__xludf.DUMMYFUNCTION("IFNA(VLOOKUP(C205,IMPORTRANGE(""https://docs.google.com/spreadsheets/d/1rG8iy-kKSFDxhVaU60GJ2bpXc8tZqI1bT8U0Ac0DWTU/edit?usp=sharing"",""REGISTRATION!C:V""),19,FALSE),"""")"),"None")</f>
        <v>None</v>
      </c>
    </row>
    <row r="206">
      <c r="C206" s="20" t="s">
        <v>90</v>
      </c>
      <c r="D206" s="21" t="str">
        <f>IFERROR(__xludf.DUMMYFUNCTION("IFNA(
IF(
VLOOKUP(C206,IMPORTRANGE(""https://docs.google.com/spreadsheets/d/1rG8iy-kKSFDxhVaU60GJ2bpXc8tZqI1bT8U0Ac0DWTU/edit?usp=sharing"",""REGISTRATION!C:X""),22,FALSE)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06" s="22" t="str">
        <f>IFERROR(__xludf.DUMMYFUNCTION("IFNA(
IF(
VLOOKUP(C206,IMPORTRANGE(""https://docs.google.com/spreadsheets/d/1rG8iy-kKSFDxhVaU60GJ2bpXc8tZqI1bT8U0Ac0DWTU/edit?usp=sharing"",""REGISTRATION!C:AB""),26,FALSE)
=""No"",
""No Candy"",
""""
),
""""
)"),"")</f>
        <v/>
      </c>
      <c r="F206" s="21" t="str">
        <f>IFERROR(__xludf.DUMMYFUNCTION("IFNA(VLOOKUP(C206,IMPORTRANGE(""https://docs.google.com/spreadsheets/d/1rG8iy-kKSFDxhVaU60GJ2bpXc8tZqI1bT8U0Ac0DWTU/edit?usp=sharing"",""REGISTRATION!C:V""),18,FALSE),"""")"),"Will inform.")</f>
        <v>Will inform.</v>
      </c>
      <c r="G206" s="21" t="str">
        <f>IFERROR(__xludf.DUMMYFUNCTION("IFNA(VLOOKUP(C206,IMPORTRANGE(""https://docs.google.com/spreadsheets/d/1rG8iy-kKSFDxhVaU60GJ2bpXc8tZqI1bT8U0Ac0DWTU/edit?usp=sharing"",""REGISTRATION!C:V""),20,FALSE),"""")"),"")</f>
        <v/>
      </c>
      <c r="H206" s="21" t="str">
        <f>IFERROR(__xludf.DUMMYFUNCTION("IFNA(VLOOKUP(C206,IMPORTRANGE(""https://docs.google.com/spreadsheets/d/1rG8iy-kKSFDxhVaU60GJ2bpXc8tZqI1bT8U0Ac0DWTU/edit?usp=sharing"",""REGISTRATION!C:V""),19,FALSE),"""")"),"None")</f>
        <v>None</v>
      </c>
    </row>
    <row r="207">
      <c r="C207" s="20" t="s">
        <v>177</v>
      </c>
      <c r="D207" s="21" t="str">
        <f>IFERROR(__xludf.DUMMYFUNCTION("IFNA(
IF(
VLOOKUP(C207,IMPORTRANGE(""https://docs.google.com/spreadsheets/d/1rG8iy-kKSFDxhVaU60GJ2bpXc8tZqI1bT8U0Ac0DWTU/edit?usp=sharing"",""REGISTRATION!C:X""),22,FALSE)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07" s="22" t="str">
        <f>IFERROR(__xludf.DUMMYFUNCTION("IFNA(
IF(
VLOOKUP(C207,IMPORTRANGE(""https://docs.google.com/spreadsheets/d/1rG8iy-kKSFDxhVaU60GJ2bpXc8tZqI1bT8U0Ac0DWTU/edit?usp=sharing"",""REGISTRATION!C:AB""),26,FALSE)
=""No"",
""No Candy"",
""""
),
""""
)"),"")</f>
        <v/>
      </c>
      <c r="F207" s="21" t="str">
        <f>IFERROR(__xludf.DUMMYFUNCTION("IFNA(VLOOKUP(C207,IMPORTRANGE(""https://docs.google.com/spreadsheets/d/1rG8iy-kKSFDxhVaU60GJ2bpXc8tZqI1bT8U0Ac0DWTU/edit?usp=sharing"",""REGISTRATION!C:V""),18,FALSE),"""")"),"None")</f>
        <v>None</v>
      </c>
      <c r="G207" s="21" t="str">
        <f>IFERROR(__xludf.DUMMYFUNCTION("IFNA(VLOOKUP(C207,IMPORTRANGE(""https://docs.google.com/spreadsheets/d/1rG8iy-kKSFDxhVaU60GJ2bpXc8tZqI1bT8U0Ac0DWTU/edit?usp=sharing"",""REGISTRATION!C:V""),20,FALSE),"""")"),"")</f>
        <v/>
      </c>
      <c r="H207" s="21" t="str">
        <f>IFERROR(__xludf.DUMMYFUNCTION("IFNA(VLOOKUP(C207,IMPORTRANGE(""https://docs.google.com/spreadsheets/d/1rG8iy-kKSFDxhVaU60GJ2bpXc8tZqI1bT8U0Ac0DWTU/edit?usp=sharing"",""REGISTRATION!C:V""),19,FALSE),"""")"),"None")</f>
        <v>None</v>
      </c>
    </row>
    <row r="208">
      <c r="C208" s="20" t="s">
        <v>131</v>
      </c>
      <c r="D208" s="21" t="str">
        <f>IFERROR(__xludf.DUMMYFUNCTION("IFNA(
IF(
VLOOKUP(C208,IMPORTRANGE(""https://docs.google.com/spreadsheets/d/1rG8iy-kKSFDxhVaU60GJ2bpXc8tZqI1bT8U0Ac0DWTU/edit?usp=sharing"",""REGISTRATION!C:X""),22,FALSE)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08" s="22" t="str">
        <f>IFERROR(__xludf.DUMMYFUNCTION("IFNA(
IF(
VLOOKUP(C208,IMPORTRANGE(""https://docs.google.com/spreadsheets/d/1rG8iy-kKSFDxhVaU60GJ2bpXc8tZqI1bT8U0Ac0DWTU/edit?usp=sharing"",""REGISTRATION!C:AB""),26,FALSE)
=""No"",
""No Candy"",
""""
),
""""
)"),"")</f>
        <v/>
      </c>
      <c r="F208" s="21" t="str">
        <f>IFERROR(__xludf.DUMMYFUNCTION("IFNA(VLOOKUP(C208,IMPORTRANGE(""https://docs.google.com/spreadsheets/d/1rG8iy-kKSFDxhVaU60GJ2bpXc8tZqI1bT8U0Ac0DWTU/edit?usp=sharing"",""REGISTRATION!C:V""),18,FALSE),"""")"),"lactose")</f>
        <v>lactose</v>
      </c>
      <c r="G208" s="21" t="str">
        <f>IFERROR(__xludf.DUMMYFUNCTION("IFNA(VLOOKUP(C208,IMPORTRANGE(""https://docs.google.com/spreadsheets/d/1rG8iy-kKSFDxhVaU60GJ2bpXc8tZqI1bT8U0Ac0DWTU/edit?usp=sharing"",""REGISTRATION!C:V""),20,FALSE),"""")"),"Mom will need a room")</f>
        <v>Mom will need a room</v>
      </c>
      <c r="H208" s="21" t="str">
        <f>IFERROR(__xludf.DUMMYFUNCTION("IFNA(VLOOKUP(C208,IMPORTRANGE(""https://docs.google.com/spreadsheets/d/1rG8iy-kKSFDxhVaU60GJ2bpXc8tZqI1bT8U0Ac0DWTU/edit?usp=sharing"",""REGISTRATION!C:V""),19,FALSE),"""")"),"Autism- twice exceptional")</f>
        <v>Autism- twice exceptional</v>
      </c>
    </row>
    <row r="209">
      <c r="C209" s="20" t="s">
        <v>168</v>
      </c>
      <c r="D209" s="21" t="str">
        <f>IFERROR(__xludf.DUMMYFUNCTION("IFNA(
IF(
VLOOKUP(C209,IMPORTRANGE(""https://docs.google.com/spreadsheets/d/1rG8iy-kKSFDxhVaU60GJ2bpXc8tZqI1bT8U0Ac0DWTU/edit?usp=sharing"",""REGISTRATION!C:X""),22,FALSE)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09" s="22" t="str">
        <f>IFERROR(__xludf.DUMMYFUNCTION("IFNA(
IF(
VLOOKUP(C209,IMPORTRANGE(""https://docs.google.com/spreadsheets/d/1rG8iy-kKSFDxhVaU60GJ2bpXc8tZqI1bT8U0Ac0DWTU/edit?usp=sharing"",""REGISTRATION!C:AB""),26,FALSE)
=""No"",
""No Candy"",
""""
),
""""
)"),"")</f>
        <v/>
      </c>
      <c r="F209" s="21" t="str">
        <f>IFERROR(__xludf.DUMMYFUNCTION("IFNA(VLOOKUP(C209,IMPORTRANGE(""https://docs.google.com/spreadsheets/d/1rG8iy-kKSFDxhVaU60GJ2bpXc8tZqI1bT8U0Ac0DWTU/edit?usp=sharing"",""REGISTRATION!C:V""),18,FALSE),"""")"),"None")</f>
        <v>None</v>
      </c>
      <c r="G209" s="21" t="str">
        <f>IFERROR(__xludf.DUMMYFUNCTION("IFNA(VLOOKUP(C209,IMPORTRANGE(""https://docs.google.com/spreadsheets/d/1rG8iy-kKSFDxhVaU60GJ2bpXc8tZqI1bT8U0Ac0DWTU/edit?usp=sharing"",""REGISTRATION!C:V""),20,FALSE),"""")"),"")</f>
        <v/>
      </c>
      <c r="H209" s="21" t="str">
        <f>IFERROR(__xludf.DUMMYFUNCTION("IFNA(VLOOKUP(C209,IMPORTRANGE(""https://docs.google.com/spreadsheets/d/1rG8iy-kKSFDxhVaU60GJ2bpXc8tZqI1bT8U0Ac0DWTU/edit?usp=sharing"",""REGISTRATION!C:V""),19,FALSE),"""")"),"None")</f>
        <v>None</v>
      </c>
    </row>
    <row r="210">
      <c r="C210" s="20" t="s">
        <v>195</v>
      </c>
      <c r="D210" s="21" t="str">
        <f>IFERROR(__xludf.DUMMYFUNCTION("IFNA(
IF(
VLOOKUP(C210,IMPORTRANGE(""https://docs.google.com/spreadsheets/d/1rG8iy-kKSFDxhVaU60GJ2bpXc8tZqI1bT8U0Ac0DWTU/edit?usp=sharing"",""REGISTRATION!C:X""),22,FALSE)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10" s="22" t="str">
        <f>IFERROR(__xludf.DUMMYFUNCTION("IFNA(
IF(
VLOOKUP(C210,IMPORTRANGE(""https://docs.google.com/spreadsheets/d/1rG8iy-kKSFDxhVaU60GJ2bpXc8tZqI1bT8U0Ac0DWTU/edit?usp=sharing"",""REGISTRATION!C:AB""),26,FALSE)
=""No"",
""No Candy"",
""""
),
""""
)"),"")</f>
        <v/>
      </c>
      <c r="F210" s="21" t="str">
        <f>IFERROR(__xludf.DUMMYFUNCTION("IFNA(VLOOKUP(C210,IMPORTRANGE(""https://docs.google.com/spreadsheets/d/1rG8iy-kKSFDxhVaU60GJ2bpXc8tZqI1bT8U0Ac0DWTU/edit?usp=sharing"",""REGISTRATION!C:V""),18,FALSE),"""")"),"None")</f>
        <v>None</v>
      </c>
      <c r="G210" s="21" t="str">
        <f>IFERROR(__xludf.DUMMYFUNCTION("IFNA(VLOOKUP(C210,IMPORTRANGE(""https://docs.google.com/spreadsheets/d/1rG8iy-kKSFDxhVaU60GJ2bpXc8tZqI1bT8U0Ac0DWTU/edit?usp=sharing"",""REGISTRATION!C:V""),20,FALSE),"""")"),"")</f>
        <v/>
      </c>
      <c r="H210" s="21" t="str">
        <f>IFERROR(__xludf.DUMMYFUNCTION("IFNA(VLOOKUP(C210,IMPORTRANGE(""https://docs.google.com/spreadsheets/d/1rG8iy-kKSFDxhVaU60GJ2bpXc8tZqI1bT8U0Ac0DWTU/edit?usp=sharing"",""REGISTRATION!C:V""),19,FALSE),"""")"),"None")</f>
        <v>None</v>
      </c>
    </row>
    <row r="211">
      <c r="C211" s="20" t="s">
        <v>210</v>
      </c>
      <c r="D211" s="21" t="str">
        <f>IFERROR(__xludf.DUMMYFUNCTION("IFNA(
IF(
VLOOKUP(C211,IMPORTRANGE(""https://docs.google.com/spreadsheets/d/1rG8iy-kKSFDxhVaU60GJ2bpXc8tZqI1bT8U0Ac0DWTU/edit?usp=sharing"",""REGISTRATION!C:X""),22,FALSE)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11" s="22" t="str">
        <f>IFERROR(__xludf.DUMMYFUNCTION("IFNA(
IF(
VLOOKUP(C211,IMPORTRANGE(""https://docs.google.com/spreadsheets/d/1rG8iy-kKSFDxhVaU60GJ2bpXc8tZqI1bT8U0Ac0DWTU/edit?usp=sharing"",""REGISTRATION!C:AB""),26,FALSE)
=""No"",
""No Candy"",
""""
),
""""
)"),"")</f>
        <v/>
      </c>
      <c r="F211" s="21" t="str">
        <f>IFERROR(__xludf.DUMMYFUNCTION("IFNA(VLOOKUP(C211,IMPORTRANGE(""https://docs.google.com/spreadsheets/d/1rG8iy-kKSFDxhVaU60GJ2bpXc8tZqI1bT8U0Ac0DWTU/edit?usp=sharing"",""REGISTRATION!C:V""),18,FALSE),"""")"),"None")</f>
        <v>None</v>
      </c>
      <c r="G211" s="21" t="str">
        <f>IFERROR(__xludf.DUMMYFUNCTION("IFNA(VLOOKUP(C211,IMPORTRANGE(""https://docs.google.com/spreadsheets/d/1rG8iy-kKSFDxhVaU60GJ2bpXc8tZqI1bT8U0Ac0DWTU/edit?usp=sharing"",""REGISTRATION!C:V""),20,FALSE),"""")"),"")</f>
        <v/>
      </c>
      <c r="H211" s="21" t="str">
        <f>IFERROR(__xludf.DUMMYFUNCTION("IFNA(VLOOKUP(C211,IMPORTRANGE(""https://docs.google.com/spreadsheets/d/1rG8iy-kKSFDxhVaU60GJ2bpXc8tZqI1bT8U0Ac0DWTU/edit?usp=sharing"",""REGISTRATION!C:V""),19,FALSE),"""")"),"None")</f>
        <v>None</v>
      </c>
    </row>
    <row r="212">
      <c r="C212" s="20" t="s">
        <v>211</v>
      </c>
      <c r="D212" s="21" t="str">
        <f>IFERROR(__xludf.DUMMYFUNCTION("IFNA(
IF(
VLOOKUP(C212,IMPORTRANGE(""https://docs.google.com/spreadsheets/d/1rG8iy-kKSFDxhVaU60GJ2bpXc8tZqI1bT8U0Ac0DWTU/edit?usp=sharing"",""REGISTRATION!C:X""),22,FALSE)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12" s="22" t="str">
        <f>IFERROR(__xludf.DUMMYFUNCTION("IFNA(
IF(
VLOOKUP(C212,IMPORTRANGE(""https://docs.google.com/spreadsheets/d/1rG8iy-kKSFDxhVaU60GJ2bpXc8tZqI1bT8U0Ac0DWTU/edit?usp=sharing"",""REGISTRATION!C:AB""),26,FALSE)
=""No"",
""No Candy"",
""""
),
""""
)"),"")</f>
        <v/>
      </c>
      <c r="F212" s="21" t="str">
        <f>IFERROR(__xludf.DUMMYFUNCTION("IFNA(VLOOKUP(C212,IMPORTRANGE(""https://docs.google.com/spreadsheets/d/1rG8iy-kKSFDxhVaU60GJ2bpXc8tZqI1bT8U0Ac0DWTU/edit?usp=sharing"",""REGISTRATION!C:V""),18,FALSE),"""")"),"None")</f>
        <v>None</v>
      </c>
      <c r="G212" s="21" t="str">
        <f>IFERROR(__xludf.DUMMYFUNCTION("IFNA(VLOOKUP(C212,IMPORTRANGE(""https://docs.google.com/spreadsheets/d/1rG8iy-kKSFDxhVaU60GJ2bpXc8tZqI1bT8U0Ac0DWTU/edit?usp=sharing"",""REGISTRATION!C:V""),20,FALSE),"""")"),"")</f>
        <v/>
      </c>
      <c r="H212" s="21" t="str">
        <f>IFERROR(__xludf.DUMMYFUNCTION("IFNA(VLOOKUP(C212,IMPORTRANGE(""https://docs.google.com/spreadsheets/d/1rG8iy-kKSFDxhVaU60GJ2bpXc8tZqI1bT8U0Ac0DWTU/edit?usp=sharing"",""REGISTRATION!C:V""),19,FALSE),"""")"),"None")</f>
        <v>None</v>
      </c>
    </row>
    <row r="213">
      <c r="C213" s="20" t="s">
        <v>213</v>
      </c>
      <c r="D213" s="21" t="str">
        <f>IFERROR(__xludf.DUMMYFUNCTION("IFNA(
IF(
VLOOKUP(C213,IMPORTRANGE(""https://docs.google.com/spreadsheets/d/1rG8iy-kKSFDxhVaU60GJ2bpXc8tZqI1bT8U0Ac0DWTU/edit?usp=sharing"",""REGISTRATION!C:X""),22,FALSE)
=""I qualify for Free and Reduced Lunch and WOULD like lunch to be provided for my "&amp;"child."",
""Yes"",
""""
),
""""
)"),"Yes")</f>
        <v>Yes</v>
      </c>
      <c r="E213" s="22" t="str">
        <f>IFERROR(__xludf.DUMMYFUNCTION("IFNA(
IF(
VLOOKUP(C213,IMPORTRANGE(""https://docs.google.com/spreadsheets/d/1rG8iy-kKSFDxhVaU60GJ2bpXc8tZqI1bT8U0Ac0DWTU/edit?usp=sharing"",""REGISTRATION!C:AB""),26,FALSE)
=""No"",
""No Candy"",
""""
),
""""
)"),"")</f>
        <v/>
      </c>
      <c r="F213" s="21" t="str">
        <f>IFERROR(__xludf.DUMMYFUNCTION("IFNA(VLOOKUP(C213,IMPORTRANGE(""https://docs.google.com/spreadsheets/d/1rG8iy-kKSFDxhVaU60GJ2bpXc8tZqI1bT8U0Ac0DWTU/edit?usp=sharing"",""REGISTRATION!C:V""),18,FALSE),"""")"),"None")</f>
        <v>None</v>
      </c>
      <c r="G213" s="21" t="str">
        <f>IFERROR(__xludf.DUMMYFUNCTION("IFNA(VLOOKUP(C213,IMPORTRANGE(""https://docs.google.com/spreadsheets/d/1rG8iy-kKSFDxhVaU60GJ2bpXc8tZqI1bT8U0Ac0DWTU/edit?usp=sharing"",""REGISTRATION!C:V""),20,FALSE),"""")"),"")</f>
        <v/>
      </c>
      <c r="H213" s="21" t="str">
        <f>IFERROR(__xludf.DUMMYFUNCTION("IFNA(VLOOKUP(C213,IMPORTRANGE(""https://docs.google.com/spreadsheets/d/1rG8iy-kKSFDxhVaU60GJ2bpXc8tZqI1bT8U0Ac0DWTU/edit?usp=sharing"",""REGISTRATION!C:V""),19,FALSE),"""")"),"None")</f>
        <v>None</v>
      </c>
    </row>
    <row r="214">
      <c r="C214" s="20" t="s">
        <v>216</v>
      </c>
      <c r="D214" s="21" t="str">
        <f>IFERROR(__xludf.DUMMYFUNCTION("IFNA(
IF(
VLOOKUP(C214,IMPORTRANGE(""https://docs.google.com/spreadsheets/d/1rG8iy-kKSFDxhVaU60GJ2bpXc8tZqI1bT8U0Ac0DWTU/edit?usp=sharing"",""REGISTRATION!C:X""),22,FALSE)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14" s="22" t="str">
        <f>IFERROR(__xludf.DUMMYFUNCTION("IFNA(
IF(
VLOOKUP(C214,IMPORTRANGE(""https://docs.google.com/spreadsheets/d/1rG8iy-kKSFDxhVaU60GJ2bpXc8tZqI1bT8U0Ac0DWTU/edit?usp=sharing"",""REGISTRATION!C:AB""),26,FALSE)
=""No"",
""No Candy"",
""""
),
""""
)"),"")</f>
        <v/>
      </c>
      <c r="F214" s="21" t="str">
        <f>IFERROR(__xludf.DUMMYFUNCTION("IFNA(VLOOKUP(C214,IMPORTRANGE(""https://docs.google.com/spreadsheets/d/1rG8iy-kKSFDxhVaU60GJ2bpXc8tZqI1bT8U0Ac0DWTU/edit?usp=sharing"",""REGISTRATION!C:V""),18,FALSE),"""")"),"None")</f>
        <v>None</v>
      </c>
      <c r="G214" s="21" t="str">
        <f>IFERROR(__xludf.DUMMYFUNCTION("IFNA(VLOOKUP(C214,IMPORTRANGE(""https://docs.google.com/spreadsheets/d/1rG8iy-kKSFDxhVaU60GJ2bpXc8tZqI1bT8U0Ac0DWTU/edit?usp=sharing"",""REGISTRATION!C:V""),20,FALSE),"""")"),"")</f>
        <v/>
      </c>
      <c r="H214" s="21" t="str">
        <f>IFERROR(__xludf.DUMMYFUNCTION("IFNA(VLOOKUP(C214,IMPORTRANGE(""https://docs.google.com/spreadsheets/d/1rG8iy-kKSFDxhVaU60GJ2bpXc8tZqI1bT8U0Ac0DWTU/edit?usp=sharing"",""REGISTRATION!C:V""),19,FALSE),"""")"),"None")</f>
        <v>None</v>
      </c>
    </row>
    <row r="215">
      <c r="C215" s="68" t="s">
        <v>180</v>
      </c>
      <c r="D215" s="21" t="str">
        <f>IFERROR(__xludf.DUMMYFUNCTION("IFNA(
IF(
VLOOKUP(C215,IMPORTRANGE(""https://docs.google.com/spreadsheets/d/1rG8iy-kKSFDxhVaU60GJ2bpXc8tZqI1bT8U0Ac0DWTU/edit?usp=sharing"",""REGISTRATION!C:X""),22,FALSE)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15" s="22" t="str">
        <f>IFERROR(__xludf.DUMMYFUNCTION("IFNA(
IF(
VLOOKUP(C215,IMPORTRANGE(""https://docs.google.com/spreadsheets/d/1rG8iy-kKSFDxhVaU60GJ2bpXc8tZqI1bT8U0Ac0DWTU/edit?usp=sharing"",""REGISTRATION!C:AB""),26,FALSE)
=""No"",
""No Candy"",
""""
),
""""
)"),"")</f>
        <v/>
      </c>
      <c r="F215" s="21" t="str">
        <f>IFERROR(__xludf.DUMMYFUNCTION("IFNA(VLOOKUP(C215,IMPORTRANGE(""https://docs.google.com/spreadsheets/d/1rG8iy-kKSFDxhVaU60GJ2bpXc8tZqI1bT8U0Ac0DWTU/edit?usp=sharing"",""REGISTRATION!C:V""),18,FALSE),"""")"),"None")</f>
        <v>None</v>
      </c>
      <c r="G215" s="21" t="str">
        <f>IFERROR(__xludf.DUMMYFUNCTION("IFNA(VLOOKUP(C215,IMPORTRANGE(""https://docs.google.com/spreadsheets/d/1rG8iy-kKSFDxhVaU60GJ2bpXc8tZqI1bT8U0Ac0DWTU/edit?usp=sharing"",""REGISTRATION!C:V""),20,FALSE),"""")"),"")</f>
        <v/>
      </c>
      <c r="H215" s="21" t="str">
        <f>IFERROR(__xludf.DUMMYFUNCTION("IFNA(VLOOKUP(C215,IMPORTRANGE(""https://docs.google.com/spreadsheets/d/1rG8iy-kKSFDxhVaU60GJ2bpXc8tZqI1bT8U0Ac0DWTU/edit?usp=sharing"",""REGISTRATION!C:V""),19,FALSE),"""")"),"None")</f>
        <v>None</v>
      </c>
    </row>
    <row r="216">
      <c r="C216" s="68" t="s">
        <v>218</v>
      </c>
      <c r="D216" s="21" t="str">
        <f>IFERROR(__xludf.DUMMYFUNCTION("IFNA(
IF(
VLOOKUP(C216,IMPORTRANGE(""https://docs.google.com/spreadsheets/d/1rG8iy-kKSFDxhVaU60GJ2bpXc8tZqI1bT8U0Ac0DWTU/edit?usp=sharing"",""REGISTRATION!C:X""),22,FALSE)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16" s="22" t="str">
        <f>IFERROR(__xludf.DUMMYFUNCTION("IFNA(
IF(
VLOOKUP(C216,IMPORTRANGE(""https://docs.google.com/spreadsheets/d/1rG8iy-kKSFDxhVaU60GJ2bpXc8tZqI1bT8U0Ac0DWTU/edit?usp=sharing"",""REGISTRATION!C:AB""),26,FALSE)
=""No"",
""No Candy"",
""""
),
""""
)"),"")</f>
        <v/>
      </c>
      <c r="F216" s="21" t="str">
        <f>IFERROR(__xludf.DUMMYFUNCTION("IFNA(VLOOKUP(C216,IMPORTRANGE(""https://docs.google.com/spreadsheets/d/1rG8iy-kKSFDxhVaU60GJ2bpXc8tZqI1bT8U0Ac0DWTU/edit?usp=sharing"",""REGISTRATION!C:V""),18,FALSE),"""")"),"None")</f>
        <v>None</v>
      </c>
      <c r="G216" s="21" t="str">
        <f>IFERROR(__xludf.DUMMYFUNCTION("IFNA(VLOOKUP(C216,IMPORTRANGE(""https://docs.google.com/spreadsheets/d/1rG8iy-kKSFDxhVaU60GJ2bpXc8tZqI1bT8U0Ac0DWTU/edit?usp=sharing"",""REGISTRATION!C:V""),20,FALSE),"""")"),"")</f>
        <v/>
      </c>
      <c r="H216" s="21" t="str">
        <f>IFERROR(__xludf.DUMMYFUNCTION("IFNA(VLOOKUP(C216,IMPORTRANGE(""https://docs.google.com/spreadsheets/d/1rG8iy-kKSFDxhVaU60GJ2bpXc8tZqI1bT8U0Ac0DWTU/edit?usp=sharing"",""REGISTRATION!C:V""),19,FALSE),"""")"),"None")</f>
        <v>None</v>
      </c>
    </row>
    <row r="217">
      <c r="C217" s="68" t="s">
        <v>263</v>
      </c>
      <c r="D217" s="21" t="str">
        <f>IFERROR(__xludf.DUMMYFUNCTION("IFNA(
IF(
VLOOKUP(C217,IMPORTRANGE(""https://docs.google.com/spreadsheets/d/1rG8iy-kKSFDxhVaU60GJ2bpXc8tZqI1bT8U0Ac0DWTU/edit?usp=sharing"",""REGISTRATION!C:X""),22,FALSE)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17" s="22" t="str">
        <f>IFERROR(__xludf.DUMMYFUNCTION("IFNA(
IF(
VLOOKUP(C217,IMPORTRANGE(""https://docs.google.com/spreadsheets/d/1rG8iy-kKSFDxhVaU60GJ2bpXc8tZqI1bT8U0Ac0DWTU/edit?usp=sharing"",""REGISTRATION!C:AB""),26,FALSE)
=""No"",
""No Candy"",
""""
),
""""
)"),"")</f>
        <v/>
      </c>
      <c r="F217" s="21" t="str">
        <f>IFERROR(__xludf.DUMMYFUNCTION("IFNA(VLOOKUP(C217,IMPORTRANGE(""https://docs.google.com/spreadsheets/d/1rG8iy-kKSFDxhVaU60GJ2bpXc8tZqI1bT8U0Ac0DWTU/edit?usp=sharing"",""REGISTRATION!C:V""),18,FALSE),"""")"),"None")</f>
        <v>None</v>
      </c>
      <c r="G217" s="21" t="str">
        <f>IFERROR(__xludf.DUMMYFUNCTION("IFNA(VLOOKUP(C217,IMPORTRANGE(""https://docs.google.com/spreadsheets/d/1rG8iy-kKSFDxhVaU60GJ2bpXc8tZqI1bT8U0Ac0DWTU/edit?usp=sharing"",""REGISTRATION!C:V""),20,FALSE),"""")"),"")</f>
        <v/>
      </c>
      <c r="H217" s="21" t="str">
        <f>IFERROR(__xludf.DUMMYFUNCTION("IFNA(VLOOKUP(C217,IMPORTRANGE(""https://docs.google.com/spreadsheets/d/1rG8iy-kKSFDxhVaU60GJ2bpXc8tZqI1bT8U0Ac0DWTU/edit?usp=sharing"",""REGISTRATION!C:V""),19,FALSE),"""")"),"None")</f>
        <v>None</v>
      </c>
    </row>
    <row r="218">
      <c r="C218" s="68" t="s">
        <v>138</v>
      </c>
      <c r="D218" s="21" t="str">
        <f>IFERROR(__xludf.DUMMYFUNCTION("IFNA(
IF(
VLOOKUP(C218,IMPORTRANGE(""https://docs.google.com/spreadsheets/d/1rG8iy-kKSFDxhVaU60GJ2bpXc8tZqI1bT8U0Ac0DWTU/edit?usp=sharing"",""REGISTRATION!C:X""),22,FALSE)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18" s="22" t="str">
        <f>IFERROR(__xludf.DUMMYFUNCTION("IFNA(
IF(
VLOOKUP(C218,IMPORTRANGE(""https://docs.google.com/spreadsheets/d/1rG8iy-kKSFDxhVaU60GJ2bpXc8tZqI1bT8U0Ac0DWTU/edit?usp=sharing"",""REGISTRATION!C:AB""),26,FALSE)
=""No"",
""No Candy"",
""""
),
""""
)"),"No Candy")</f>
        <v>No Candy</v>
      </c>
      <c r="F218" s="21" t="str">
        <f>IFERROR(__xludf.DUMMYFUNCTION("IFNA(VLOOKUP(C218,IMPORTRANGE(""https://docs.google.com/spreadsheets/d/1rG8iy-kKSFDxhVaU60GJ2bpXc8tZqI1bT8U0Ac0DWTU/edit?usp=sharing"",""REGISTRATION!C:V""),18,FALSE),"""")"),"None")</f>
        <v>None</v>
      </c>
      <c r="G218" s="21" t="str">
        <f>IFERROR(__xludf.DUMMYFUNCTION("IFNA(VLOOKUP(C218,IMPORTRANGE(""https://docs.google.com/spreadsheets/d/1rG8iy-kKSFDxhVaU60GJ2bpXc8tZqI1bT8U0Ac0DWTU/edit?usp=sharing"",""REGISTRATION!C:V""),20,FALSE),"""")"),"He loves coding. Thanks")</f>
        <v>He loves coding. Thanks</v>
      </c>
      <c r="H218" s="21" t="str">
        <f>IFERROR(__xludf.DUMMYFUNCTION("IFNA(VLOOKUP(C218,IMPORTRANGE(""https://docs.google.com/spreadsheets/d/1rG8iy-kKSFDxhVaU60GJ2bpXc8tZqI1bT8U0Ac0DWTU/edit?usp=sharing"",""REGISTRATION!C:V""),19,FALSE),"""")"),"None")</f>
        <v>None</v>
      </c>
    </row>
    <row r="219">
      <c r="C219" s="68" t="s">
        <v>264</v>
      </c>
      <c r="D219" s="21" t="str">
        <f>IFERROR(__xludf.DUMMYFUNCTION("IFNA(
IF(
VLOOKUP(C219,IMPORTRANGE(""https://docs.google.com/spreadsheets/d/1rG8iy-kKSFDxhVaU60GJ2bpXc8tZqI1bT8U0Ac0DWTU/edit?usp=sharing"",""REGISTRATION!C:X""),22,FALSE)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19" s="22" t="str">
        <f>IFERROR(__xludf.DUMMYFUNCTION("IFNA(
IF(
VLOOKUP(C219,IMPORTRANGE(""https://docs.google.com/spreadsheets/d/1rG8iy-kKSFDxhVaU60GJ2bpXc8tZqI1bT8U0Ac0DWTU/edit?usp=sharing"",""REGISTRATION!C:AB""),26,FALSE)
=""No"",
""No Candy"",
""""
),
""""
)"),"")</f>
        <v/>
      </c>
      <c r="F219" s="21" t="str">
        <f>IFERROR(__xludf.DUMMYFUNCTION("IFNA(VLOOKUP(C219,IMPORTRANGE(""https://docs.google.com/spreadsheets/d/1rG8iy-kKSFDxhVaU60GJ2bpXc8tZqI1bT8U0Ac0DWTU/edit?usp=sharing"",""REGISTRATION!C:V""),18,FALSE),"""")"),"None")</f>
        <v>None</v>
      </c>
      <c r="G219" s="21" t="str">
        <f>IFERROR(__xludf.DUMMYFUNCTION("IFNA(VLOOKUP(C219,IMPORTRANGE(""https://docs.google.com/spreadsheets/d/1rG8iy-kKSFDxhVaU60GJ2bpXc8tZqI1bT8U0Ac0DWTU/edit?usp=sharing"",""REGISTRATION!C:V""),20,FALSE),"""")"),"")</f>
        <v/>
      </c>
      <c r="H219" s="21" t="str">
        <f>IFERROR(__xludf.DUMMYFUNCTION("IFNA(VLOOKUP(C219,IMPORTRANGE(""https://docs.google.com/spreadsheets/d/1rG8iy-kKSFDxhVaU60GJ2bpXc8tZqI1bT8U0Ac0DWTU/edit?usp=sharing"",""REGISTRATION!C:V""),19,FALSE),"""")"),"glasses")</f>
        <v>glasses</v>
      </c>
    </row>
    <row r="220">
      <c r="C220" s="68" t="s">
        <v>140</v>
      </c>
      <c r="D220" s="21" t="str">
        <f>IFERROR(__xludf.DUMMYFUNCTION("IFNA(
IF(
VLOOKUP(C220,IMPORTRANGE(""https://docs.google.com/spreadsheets/d/1rG8iy-kKSFDxhVaU60GJ2bpXc8tZqI1bT8U0Ac0DWTU/edit?usp=sharing"",""REGISTRATION!C:X""),22,FALSE)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20" s="22" t="str">
        <f>IFERROR(__xludf.DUMMYFUNCTION("IFNA(
IF(
VLOOKUP(C220,IMPORTRANGE(""https://docs.google.com/spreadsheets/d/1rG8iy-kKSFDxhVaU60GJ2bpXc8tZqI1bT8U0Ac0DWTU/edit?usp=sharing"",""REGISTRATION!C:AB""),26,FALSE)
=""No"",
""No Candy"",
""""
),
""""
)"),"")</f>
        <v/>
      </c>
      <c r="F220" s="21" t="str">
        <f>IFERROR(__xludf.DUMMYFUNCTION("IFNA(VLOOKUP(C220,IMPORTRANGE(""https://docs.google.com/spreadsheets/d/1rG8iy-kKSFDxhVaU60GJ2bpXc8tZqI1bT8U0Ac0DWTU/edit?usp=sharing"",""REGISTRATION!C:V""),18,FALSE),"""")"),"None")</f>
        <v>None</v>
      </c>
      <c r="G220" s="21" t="str">
        <f>IFERROR(__xludf.DUMMYFUNCTION("IFNA(VLOOKUP(C220,IMPORTRANGE(""https://docs.google.com/spreadsheets/d/1rG8iy-kKSFDxhVaU60GJ2bpXc8tZqI1bT8U0Ac0DWTU/edit?usp=sharing"",""REGISTRATION!C:V""),20,FALSE),"""")"),"")</f>
        <v/>
      </c>
      <c r="H220" s="21" t="str">
        <f>IFERROR(__xludf.DUMMYFUNCTION("IFNA(VLOOKUP(C220,IMPORTRANGE(""https://docs.google.com/spreadsheets/d/1rG8iy-kKSFDxhVaU60GJ2bpXc8tZqI1bT8U0Ac0DWTU/edit?usp=sharing"",""REGISTRATION!C:V""),19,FALSE),"""")"),"None")</f>
        <v>None</v>
      </c>
    </row>
    <row r="221">
      <c r="C221" s="68" t="s">
        <v>141</v>
      </c>
      <c r="D221" s="21" t="str">
        <f>IFERROR(__xludf.DUMMYFUNCTION("IFNA(
IF(
VLOOKUP(C221,IMPORTRANGE(""https://docs.google.com/spreadsheets/d/1rG8iy-kKSFDxhVaU60GJ2bpXc8tZqI1bT8U0Ac0DWTU/edit?usp=sharing"",""REGISTRATION!C:X""),22,FALSE)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21" s="22" t="str">
        <f>IFERROR(__xludf.DUMMYFUNCTION("IFNA(
IF(
VLOOKUP(C221,IMPORTRANGE(""https://docs.google.com/spreadsheets/d/1rG8iy-kKSFDxhVaU60GJ2bpXc8tZqI1bT8U0Ac0DWTU/edit?usp=sharing"",""REGISTRATION!C:AB""),26,FALSE)
=""No"",
""No Candy"",
""""
),
""""
)"),"")</f>
        <v/>
      </c>
      <c r="F221" s="21" t="str">
        <f>IFERROR(__xludf.DUMMYFUNCTION("IFNA(VLOOKUP(C221,IMPORTRANGE(""https://docs.google.com/spreadsheets/d/1rG8iy-kKSFDxhVaU60GJ2bpXc8tZqI1bT8U0Ac0DWTU/edit?usp=sharing"",""REGISTRATION!C:V""),18,FALSE),"""")"),"None")</f>
        <v>None</v>
      </c>
      <c r="G221" s="21" t="str">
        <f>IFERROR(__xludf.DUMMYFUNCTION("IFNA(VLOOKUP(C221,IMPORTRANGE(""https://docs.google.com/spreadsheets/d/1rG8iy-kKSFDxhVaU60GJ2bpXc8tZqI1bT8U0Ac0DWTU/edit?usp=sharing"",""REGISTRATION!C:V""),20,FALSE),"""")"),"")</f>
        <v/>
      </c>
      <c r="H221" s="21" t="str">
        <f>IFERROR(__xludf.DUMMYFUNCTION("IFNA(VLOOKUP(C221,IMPORTRANGE(""https://docs.google.com/spreadsheets/d/1rG8iy-kKSFDxhVaU60GJ2bpXc8tZqI1bT8U0Ac0DWTU/edit?usp=sharing"",""REGISTRATION!C:V""),19,FALSE),"""")"),"None")</f>
        <v>None</v>
      </c>
    </row>
    <row r="222">
      <c r="C222" s="68" t="s">
        <v>142</v>
      </c>
      <c r="D222" s="21" t="str">
        <f>IFERROR(__xludf.DUMMYFUNCTION("IFNA(
IF(
VLOOKUP(C222,IMPORTRANGE(""https://docs.google.com/spreadsheets/d/1rG8iy-kKSFDxhVaU60GJ2bpXc8tZqI1bT8U0Ac0DWTU/edit?usp=sharing"",""REGISTRATION!C:X""),22,FALSE)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22" s="22" t="str">
        <f>IFERROR(__xludf.DUMMYFUNCTION("IFNA(
IF(
VLOOKUP(C222,IMPORTRANGE(""https://docs.google.com/spreadsheets/d/1rG8iy-kKSFDxhVaU60GJ2bpXc8tZqI1bT8U0Ac0DWTU/edit?usp=sharing"",""REGISTRATION!C:AB""),26,FALSE)
=""No"",
""No Candy"",
""""
),
""""
)"),"")</f>
        <v/>
      </c>
      <c r="F222" s="21" t="str">
        <f>IFERROR(__xludf.DUMMYFUNCTION("IFNA(VLOOKUP(C222,IMPORTRANGE(""https://docs.google.com/spreadsheets/d/1rG8iy-kKSFDxhVaU60GJ2bpXc8tZqI1bT8U0Ac0DWTU/edit?usp=sharing"",""REGISTRATION!C:V""),18,FALSE),"""")"),"None")</f>
        <v>None</v>
      </c>
      <c r="G222" s="21" t="str">
        <f>IFERROR(__xludf.DUMMYFUNCTION("IFNA(VLOOKUP(C222,IMPORTRANGE(""https://docs.google.com/spreadsheets/d/1rG8iy-kKSFDxhVaU60GJ2bpXc8tZqI1bT8U0Ac0DWTU/edit?usp=sharing"",""REGISTRATION!C:V""),20,FALSE),"""")"),"")</f>
        <v/>
      </c>
      <c r="H222" s="21" t="str">
        <f>IFERROR(__xludf.DUMMYFUNCTION("IFNA(VLOOKUP(C222,IMPORTRANGE(""https://docs.google.com/spreadsheets/d/1rG8iy-kKSFDxhVaU60GJ2bpXc8tZqI1bT8U0Ac0DWTU/edit?usp=sharing"",""REGISTRATION!C:V""),19,FALSE),"""")"),"None")</f>
        <v>None</v>
      </c>
    </row>
    <row r="223">
      <c r="C223" s="68" t="s">
        <v>143</v>
      </c>
      <c r="D223" s="21" t="str">
        <f>IFERROR(__xludf.DUMMYFUNCTION("IFNA(
IF(
VLOOKUP(C223,IMPORTRANGE(""https://docs.google.com/spreadsheets/d/1rG8iy-kKSFDxhVaU60GJ2bpXc8tZqI1bT8U0Ac0DWTU/edit?usp=sharing"",""REGISTRATION!C:X""),22,FALSE)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23" s="22" t="str">
        <f>IFERROR(__xludf.DUMMYFUNCTION("IFNA(
IF(
VLOOKUP(C223,IMPORTRANGE(""https://docs.google.com/spreadsheets/d/1rG8iy-kKSFDxhVaU60GJ2bpXc8tZqI1bT8U0Ac0DWTU/edit?usp=sharing"",""REGISTRATION!C:AB""),26,FALSE)
=""No"",
""No Candy"",
""""
),
""""
)"),"")</f>
        <v/>
      </c>
      <c r="F223" s="21" t="str">
        <f>IFERROR(__xludf.DUMMYFUNCTION("IFNA(VLOOKUP(C223,IMPORTRANGE(""https://docs.google.com/spreadsheets/d/1rG8iy-kKSFDxhVaU60GJ2bpXc8tZqI1bT8U0Ac0DWTU/edit?usp=sharing"",""REGISTRATION!C:V""),18,FALSE),"""")"),"None")</f>
        <v>None</v>
      </c>
      <c r="G223" s="21" t="str">
        <f>IFERROR(__xludf.DUMMYFUNCTION("IFNA(VLOOKUP(C223,IMPORTRANGE(""https://docs.google.com/spreadsheets/d/1rG8iy-kKSFDxhVaU60GJ2bpXc8tZqI1bT8U0Ac0DWTU/edit?usp=sharing"",""REGISTRATION!C:V""),20,FALSE),"""")"),"Is well versed in python but needs to review ")</f>
        <v>Is well versed in python but needs to review </v>
      </c>
      <c r="H223" s="21" t="str">
        <f>IFERROR(__xludf.DUMMYFUNCTION("IFNA(VLOOKUP(C223,IMPORTRANGE(""https://docs.google.com/spreadsheets/d/1rG8iy-kKSFDxhVaU60GJ2bpXc8tZqI1bT8U0Ac0DWTU/edit?usp=sharing"",""REGISTRATION!C:V""),19,FALSE),"""")"),"None")</f>
        <v>None</v>
      </c>
    </row>
    <row r="224">
      <c r="C224" s="20" t="s">
        <v>265</v>
      </c>
      <c r="D224" s="21" t="str">
        <f>IFERROR(__xludf.DUMMYFUNCTION("IFNA(
IF(
VLOOKUP(C224,IMPORTRANGE(""https://docs.google.com/spreadsheets/d/1rG8iy-kKSFDxhVaU60GJ2bpXc8tZqI1bT8U0Ac0DWTU/edit?usp=sharing"",""REGISTRATION!C:X""),22,FALSE)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24" s="22" t="str">
        <f>IFERROR(__xludf.DUMMYFUNCTION("IFNA(
IF(
VLOOKUP(C224,IMPORTRANGE(""https://docs.google.com/spreadsheets/d/1rG8iy-kKSFDxhVaU60GJ2bpXc8tZqI1bT8U0Ac0DWTU/edit?usp=sharing"",""REGISTRATION!C:AB""),26,FALSE)
=""No"",
""No Candy"",
""""
),
""""
)"),"")</f>
        <v/>
      </c>
      <c r="F224" s="21" t="str">
        <f>IFERROR(__xludf.DUMMYFUNCTION("IFNA(VLOOKUP(C224,IMPORTRANGE(""https://docs.google.com/spreadsheets/d/1rG8iy-kKSFDxhVaU60GJ2bpXc8tZqI1bT8U0Ac0DWTU/edit?usp=sharing"",""REGISTRATION!C:V""),18,FALSE),"""")"),"None")</f>
        <v>None</v>
      </c>
      <c r="G224" s="21" t="str">
        <f>IFERROR(__xludf.DUMMYFUNCTION("IFNA(VLOOKUP(C224,IMPORTRANGE(""https://docs.google.com/spreadsheets/d/1rG8iy-kKSFDxhVaU60GJ2bpXc8tZqI1bT8U0Ac0DWTU/edit?usp=sharing"",""REGISTRATION!C:V""),20,FALSE),"""")"),"Hiro is interested in joining his friends Leila and Lucy Acosta on June 8-12 for the web development camp")</f>
        <v>Hiro is interested in joining his friends Leila and Lucy Acosta on June 8-12 for the web development camp</v>
      </c>
      <c r="H224" s="21" t="str">
        <f>IFERROR(__xludf.DUMMYFUNCTION("IFNA(VLOOKUP(C224,IMPORTRANGE(""https://docs.google.com/spreadsheets/d/1rG8iy-kKSFDxhVaU60GJ2bpXc8tZqI1bT8U0Ac0DWTU/edit?usp=sharing"",""REGISTRATION!C:V""),19,FALSE),"""")"),"None")</f>
        <v>None</v>
      </c>
    </row>
    <row r="225">
      <c r="A225" s="76" t="s">
        <v>196</v>
      </c>
      <c r="B225" s="30" t="s">
        <v>266</v>
      </c>
      <c r="C225" s="34" t="s">
        <v>122</v>
      </c>
      <c r="D225" s="32" t="str">
        <f>IFERROR(__xludf.DUMMYFUNCTION("IFNA(
IF(
VLOOKUP(C225,IMPORTRANGE(""https://docs.google.com/spreadsheets/d/1rG8iy-kKSFDxhVaU60GJ2bpXc8tZqI1bT8U0Ac0DWTU/edit?usp=sharing"",""REGISTRATION!C:X""),22,FALSE)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25" s="33" t="str">
        <f>IFERROR(__xludf.DUMMYFUNCTION("IFNA(
IF(
VLOOKUP(C225,IMPORTRANGE(""https://docs.google.com/spreadsheets/d/1rG8iy-kKSFDxhVaU60GJ2bpXc8tZqI1bT8U0Ac0DWTU/edit?usp=sharing"",""REGISTRATION!C:AB""),26,FALSE)
=""No"",
""No Candy"",
""""
),
""""
)"),"")</f>
        <v/>
      </c>
      <c r="F225" s="32" t="str">
        <f>IFERROR(__xludf.DUMMYFUNCTION("IFNA(VLOOKUP(C225,IMPORTRANGE(""https://docs.google.com/spreadsheets/d/1rG8iy-kKSFDxhVaU60GJ2bpXc8tZqI1bT8U0Ac0DWTU/edit?usp=sharing"",""REGISTRATION!C:V""),18,FALSE),"""")"),"None")</f>
        <v>None</v>
      </c>
      <c r="G225" s="32" t="str">
        <f>IFERROR(__xludf.DUMMYFUNCTION("IFNA(VLOOKUP(C225,IMPORTRANGE(""https://docs.google.com/spreadsheets/d/1rG8iy-kKSFDxhVaU60GJ2bpXc8tZqI1bT8U0Ac0DWTU/edit?usp=sharing"",""REGISTRATION!C:V""),20,FALSE),"""")"),"attended last year (python) 2 weeks")</f>
        <v>attended last year (python) 2 weeks</v>
      </c>
      <c r="H225" s="32" t="str">
        <f>IFERROR(__xludf.DUMMYFUNCTION("IFNA(VLOOKUP(C225,IMPORTRANGE(""https://docs.google.com/spreadsheets/d/1rG8iy-kKSFDxhVaU60GJ2bpXc8tZqI1bT8U0Ac0DWTU/edit?usp=sharing"",""REGISTRATION!C:V""),19,FALSE),"""")"),"None")</f>
        <v>None</v>
      </c>
    </row>
    <row r="226">
      <c r="C226" s="34" t="s">
        <v>123</v>
      </c>
      <c r="D226" s="32" t="str">
        <f>IFERROR(__xludf.DUMMYFUNCTION("IFNA(
IF(
VLOOKUP(C226,IMPORTRANGE(""https://docs.google.com/spreadsheets/d/1rG8iy-kKSFDxhVaU60GJ2bpXc8tZqI1bT8U0Ac0DWTU/edit?usp=sharing"",""REGISTRATION!C:X""),22,FALSE)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26" s="33" t="str">
        <f>IFERROR(__xludf.DUMMYFUNCTION("IFNA(
IF(
VLOOKUP(C226,IMPORTRANGE(""https://docs.google.com/spreadsheets/d/1rG8iy-kKSFDxhVaU60GJ2bpXc8tZqI1bT8U0Ac0DWTU/edit?usp=sharing"",""REGISTRATION!C:AB""),26,FALSE)
=""No"",
""No Candy"",
""""
),
""""
)"),"")</f>
        <v/>
      </c>
      <c r="F226" s="32" t="str">
        <f>IFERROR(__xludf.DUMMYFUNCTION("IFNA(VLOOKUP(C226,IMPORTRANGE(""https://docs.google.com/spreadsheets/d/1rG8iy-kKSFDxhVaU60GJ2bpXc8tZqI1bT8U0Ac0DWTU/edit?usp=sharing"",""REGISTRATION!C:V""),18,FALSE),"""")"),"None")</f>
        <v>None</v>
      </c>
      <c r="G226" s="32" t="str">
        <f>IFERROR(__xludf.DUMMYFUNCTION("IFNA(VLOOKUP(C226,IMPORTRANGE(""https://docs.google.com/spreadsheets/d/1rG8iy-kKSFDxhVaU60GJ2bpXc8tZqI1bT8U0Ac0DWTU/edit?usp=sharing"",""REGISTRATION!C:V""),20,FALSE),"""")"),"")</f>
        <v/>
      </c>
      <c r="H226" s="32" t="str">
        <f>IFERROR(__xludf.DUMMYFUNCTION("IFNA(VLOOKUP(C226,IMPORTRANGE(""https://docs.google.com/spreadsheets/d/1rG8iy-kKSFDxhVaU60GJ2bpXc8tZqI1bT8U0Ac0DWTU/edit?usp=sharing"",""REGISTRATION!C:V""),19,FALSE),"""")"),"None")</f>
        <v>None</v>
      </c>
    </row>
    <row r="227">
      <c r="C227" s="34" t="s">
        <v>124</v>
      </c>
      <c r="D227" s="32" t="str">
        <f>IFERROR(__xludf.DUMMYFUNCTION("IFNA(
IF(
VLOOKUP(C227,IMPORTRANGE(""https://docs.google.com/spreadsheets/d/1rG8iy-kKSFDxhVaU60GJ2bpXc8tZqI1bT8U0Ac0DWTU/edit?usp=sharing"",""REGISTRATION!C:X""),22,FALSE)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27" s="33" t="str">
        <f>IFERROR(__xludf.DUMMYFUNCTION("IFNA(
IF(
VLOOKUP(C227,IMPORTRANGE(""https://docs.google.com/spreadsheets/d/1rG8iy-kKSFDxhVaU60GJ2bpXc8tZqI1bT8U0Ac0DWTU/edit?usp=sharing"",""REGISTRATION!C:AB""),26,FALSE)
=""No"",
""No Candy"",
""""
),
""""
)"),"")</f>
        <v/>
      </c>
      <c r="F227" s="32" t="str">
        <f>IFERROR(__xludf.DUMMYFUNCTION("IFNA(VLOOKUP(C227,IMPORTRANGE(""https://docs.google.com/spreadsheets/d/1rG8iy-kKSFDxhVaU60GJ2bpXc8tZqI1bT8U0Ac0DWTU/edit?usp=sharing"",""REGISTRATION!C:V""),18,FALSE),"""")"),"None")</f>
        <v>None</v>
      </c>
      <c r="G227" s="32" t="str">
        <f>IFERROR(__xludf.DUMMYFUNCTION("IFNA(VLOOKUP(C227,IMPORTRANGE(""https://docs.google.com/spreadsheets/d/1rG8iy-kKSFDxhVaU60GJ2bpXc8tZqI1bT8U0Ac0DWTU/edit?usp=sharing"",""REGISTRATION!C:V""),20,FALSE),"""")"),"Already had intro to java and python ")</f>
        <v>Already had intro to java and python </v>
      </c>
      <c r="H227" s="32" t="str">
        <f>IFERROR(__xludf.DUMMYFUNCTION("IFNA(VLOOKUP(C227,IMPORTRANGE(""https://docs.google.com/spreadsheets/d/1rG8iy-kKSFDxhVaU60GJ2bpXc8tZqI1bT8U0Ac0DWTU/edit?usp=sharing"",""REGISTRATION!C:V""),19,FALSE),"""")"),"None")</f>
        <v>None</v>
      </c>
    </row>
    <row r="228">
      <c r="C228" s="34" t="s">
        <v>183</v>
      </c>
      <c r="D228" s="32" t="str">
        <f>IFERROR(__xludf.DUMMYFUNCTION("IFNA(
IF(
VLOOKUP(C228,IMPORTRANGE(""https://docs.google.com/spreadsheets/d/1rG8iy-kKSFDxhVaU60GJ2bpXc8tZqI1bT8U0Ac0DWTU/edit?usp=sharing"",""REGISTRATION!C:X""),22,FALSE)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28" s="33" t="str">
        <f>IFERROR(__xludf.DUMMYFUNCTION("IFNA(
IF(
VLOOKUP(C228,IMPORTRANGE(""https://docs.google.com/spreadsheets/d/1rG8iy-kKSFDxhVaU60GJ2bpXc8tZqI1bT8U0Ac0DWTU/edit?usp=sharing"",""REGISTRATION!C:AB""),26,FALSE)
=""No"",
""No Candy"",
""""
),
""""
)"),"")</f>
        <v/>
      </c>
      <c r="F228" s="32" t="str">
        <f>IFERROR(__xludf.DUMMYFUNCTION("IFNA(VLOOKUP(C228,IMPORTRANGE(""https://docs.google.com/spreadsheets/d/1rG8iy-kKSFDxhVaU60GJ2bpXc8tZqI1bT8U0Ac0DWTU/edit?usp=sharing"",""REGISTRATION!C:V""),18,FALSE),"""")"),"Gluten")</f>
        <v>Gluten</v>
      </c>
      <c r="G228" s="32" t="str">
        <f>IFERROR(__xludf.DUMMYFUNCTION("IFNA(VLOOKUP(C228,IMPORTRANGE(""https://docs.google.com/spreadsheets/d/1rG8iy-kKSFDxhVaU60GJ2bpXc8tZqI1bT8U0Ac0DWTU/edit?usp=sharing"",""REGISTRATION!C:V""),20,FALSE),"""")"),"")</f>
        <v/>
      </c>
      <c r="H228" s="32" t="str">
        <f>IFERROR(__xludf.DUMMYFUNCTION("IFNA(VLOOKUP(C228,IMPORTRANGE(""https://docs.google.com/spreadsheets/d/1rG8iy-kKSFDxhVaU60GJ2bpXc8tZqI1bT8U0Ac0DWTU/edit?usp=sharing"",""REGISTRATION!C:V""),19,FALSE),"""")"),"None")</f>
        <v>None</v>
      </c>
    </row>
    <row r="229">
      <c r="C229" s="34" t="s">
        <v>127</v>
      </c>
      <c r="D229" s="32" t="str">
        <f>IFERROR(__xludf.DUMMYFUNCTION("IFNA(
IF(
VLOOKUP(C229,IMPORTRANGE(""https://docs.google.com/spreadsheets/d/1rG8iy-kKSFDxhVaU60GJ2bpXc8tZqI1bT8U0Ac0DWTU/edit?usp=sharing"",""REGISTRATION!C:X""),22,FALSE)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29" s="33"/>
      <c r="F229" s="32" t="str">
        <f>IFERROR(__xludf.DUMMYFUNCTION("IFNA(VLOOKUP(C229,IMPORTRANGE(""https://docs.google.com/spreadsheets/d/1rG8iy-kKSFDxhVaU60GJ2bpXc8tZqI1bT8U0Ac0DWTU/edit?usp=sharing"",""REGISTRATION!C:V""),18,FALSE),"""")"),"None")</f>
        <v>None</v>
      </c>
      <c r="G229" s="32" t="str">
        <f>IFERROR(__xludf.DUMMYFUNCTION("IFNA(VLOOKUP(C229,IMPORTRANGE(""https://docs.google.com/spreadsheets/d/1rG8iy-kKSFDxhVaU60GJ2bpXc8tZqI1bT8U0Ac0DWTU/edit?usp=sharing"",""REGISTRATION!C:V""),20,FALSE),"""")"),"")</f>
        <v/>
      </c>
      <c r="H229" s="32" t="str">
        <f>IFERROR(__xludf.DUMMYFUNCTION("IFNA(VLOOKUP(C229,IMPORTRANGE(""https://docs.google.com/spreadsheets/d/1rG8iy-kKSFDxhVaU60GJ2bpXc8tZqI1bT8U0Ac0DWTU/edit?usp=sharing"",""REGISTRATION!C:V""),19,FALSE),"""")"),"None")</f>
        <v>None</v>
      </c>
    </row>
    <row r="230">
      <c r="C230" s="34" t="s">
        <v>184</v>
      </c>
      <c r="D230" s="32" t="str">
        <f>IFERROR(__xludf.DUMMYFUNCTION("IFNA(
IF(
VLOOKUP(C230,IMPORTRANGE(""https://docs.google.com/spreadsheets/d/1rG8iy-kKSFDxhVaU60GJ2bpXc8tZqI1bT8U0Ac0DWTU/edit?usp=sharing"",""REGISTRATION!C:X""),22,FALSE)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30" s="33" t="str">
        <f>IFERROR(__xludf.DUMMYFUNCTION("IFNA(
IF(
VLOOKUP(C230,IMPORTRANGE(""https://docs.google.com/spreadsheets/d/1rG8iy-kKSFDxhVaU60GJ2bpXc8tZqI1bT8U0Ac0DWTU/edit?usp=sharing"",""REGISTRATION!C:AB""),26,FALSE)
=""No"",
""No Candy"",
""""
),
""""
)"),"")</f>
        <v/>
      </c>
      <c r="F230" s="32" t="str">
        <f>IFERROR(__xludf.DUMMYFUNCTION("IFNA(VLOOKUP(C230,IMPORTRANGE(""https://docs.google.com/spreadsheets/d/1rG8iy-kKSFDxhVaU60GJ2bpXc8tZqI1bT8U0Ac0DWTU/edit?usp=sharing"",""REGISTRATION!C:V""),18,FALSE),"""")"),"Cats")</f>
        <v>Cats</v>
      </c>
      <c r="G230" s="32" t="str">
        <f>IFERROR(__xludf.DUMMYFUNCTION("IFNA(VLOOKUP(C230,IMPORTRANGE(""https://docs.google.com/spreadsheets/d/1rG8iy-kKSFDxhVaU60GJ2bpXc8tZqI1bT8U0Ac0DWTU/edit?usp=sharing"",""REGISTRATION!C:V""),20,FALSE),"""")"),"")</f>
        <v/>
      </c>
      <c r="H230" s="32" t="str">
        <f>IFERROR(__xludf.DUMMYFUNCTION("IFNA(VLOOKUP(C230,IMPORTRANGE(""https://docs.google.com/spreadsheets/d/1rG8iy-kKSFDxhVaU60GJ2bpXc8tZqI1bT8U0Ac0DWTU/edit?usp=sharing"",""REGISTRATION!C:V""),19,FALSE),"""")"),"None")</f>
        <v>None</v>
      </c>
    </row>
    <row r="231">
      <c r="C231" s="34" t="s">
        <v>128</v>
      </c>
      <c r="D231" s="32" t="str">
        <f>IFERROR(__xludf.DUMMYFUNCTION("IFNA(
IF(
VLOOKUP(C231,IMPORTRANGE(""https://docs.google.com/spreadsheets/d/1rG8iy-kKSFDxhVaU60GJ2bpXc8tZqI1bT8U0Ac0DWTU/edit?usp=sharing"",""REGISTRATION!C:X""),22,FALSE)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31" s="33" t="str">
        <f>IFERROR(__xludf.DUMMYFUNCTION("IFNA(
IF(
VLOOKUP(C231,IMPORTRANGE(""https://docs.google.com/spreadsheets/d/1rG8iy-kKSFDxhVaU60GJ2bpXc8tZqI1bT8U0Ac0DWTU/edit?usp=sharing"",""REGISTRATION!C:AB""),26,FALSE)
=""No"",
""No Candy"",
""""
),
""""
)"),"")</f>
        <v/>
      </c>
      <c r="F231" s="32" t="str">
        <f>IFERROR(__xludf.DUMMYFUNCTION("IFNA(VLOOKUP(C231,IMPORTRANGE(""https://docs.google.com/spreadsheets/d/1rG8iy-kKSFDxhVaU60GJ2bpXc8tZqI1bT8U0Ac0DWTU/edit?usp=sharing"",""REGISTRATION!C:V""),18,FALSE),"""")"),"None")</f>
        <v>None</v>
      </c>
      <c r="G231" s="32" t="str">
        <f>IFERROR(__xludf.DUMMYFUNCTION("IFNA(VLOOKUP(C231,IMPORTRANGE(""https://docs.google.com/spreadsheets/d/1rG8iy-kKSFDxhVaU60GJ2bpXc8tZqI1bT8U0Ac0DWTU/edit?usp=sharing"",""REGISTRATION!C:V""),20,FALSE),"""")"),"None")</f>
        <v>None</v>
      </c>
      <c r="H231" s="32" t="str">
        <f>IFERROR(__xludf.DUMMYFUNCTION("IFNA(VLOOKUP(C231,IMPORTRANGE(""https://docs.google.com/spreadsheets/d/1rG8iy-kKSFDxhVaU60GJ2bpXc8tZqI1bT8U0Ac0DWTU/edit?usp=sharing"",""REGISTRATION!C:V""),19,FALSE),"""")"),"None")</f>
        <v>None</v>
      </c>
    </row>
    <row r="232">
      <c r="C232" s="34" t="s">
        <v>267</v>
      </c>
      <c r="D232" s="32" t="str">
        <f>IFERROR(__xludf.DUMMYFUNCTION("IFNA(
IF(
VLOOKUP(C232,IMPORTRANGE(""https://docs.google.com/spreadsheets/d/1rG8iy-kKSFDxhVaU60GJ2bpXc8tZqI1bT8U0Ac0DWTU/edit?usp=sharing"",""REGISTRATION!C:X""),22,FALSE)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32" s="33" t="str">
        <f>IFERROR(__xludf.DUMMYFUNCTION("IFNA(
IF(
VLOOKUP(C232,IMPORTRANGE(""https://docs.google.com/spreadsheets/d/1rG8iy-kKSFDxhVaU60GJ2bpXc8tZqI1bT8U0Ac0DWTU/edit?usp=sharing"",""REGISTRATION!C:AB""),26,FALSE)
=""No"",
""No Candy"",
""""
),
""""
)"),"")</f>
        <v/>
      </c>
      <c r="F232" s="32" t="str">
        <f>IFERROR(__xludf.DUMMYFUNCTION("IFNA(VLOOKUP(C232,IMPORTRANGE(""https://docs.google.com/spreadsheets/d/1rG8iy-kKSFDxhVaU60GJ2bpXc8tZqI1bT8U0Ac0DWTU/edit?usp=sharing"",""REGISTRATION!C:V""),18,FALSE),"""")"),"None")</f>
        <v>None</v>
      </c>
      <c r="G232" s="32" t="str">
        <f>IFERROR(__xludf.DUMMYFUNCTION("IFNA(VLOOKUP(C232,IMPORTRANGE(""https://docs.google.com/spreadsheets/d/1rG8iy-kKSFDxhVaU60GJ2bpXc8tZqI1bT8U0Ac0DWTU/edit?usp=sharing"",""REGISTRATION!C:V""),20,FALSE),"""")"),"")</f>
        <v/>
      </c>
      <c r="H232" s="32" t="str">
        <f>IFERROR(__xludf.DUMMYFUNCTION("IFNA(VLOOKUP(C232,IMPORTRANGE(""https://docs.google.com/spreadsheets/d/1rG8iy-kKSFDxhVaU60GJ2bpXc8tZqI1bT8U0Ac0DWTU/edit?usp=sharing"",""REGISTRATION!C:V""),19,FALSE),"""")"),"None")</f>
        <v>None</v>
      </c>
    </row>
    <row r="233">
      <c r="C233" s="34" t="s">
        <v>268</v>
      </c>
      <c r="D233" s="32" t="str">
        <f>IFERROR(__xludf.DUMMYFUNCTION("IFNA(
IF(
VLOOKUP(C233,IMPORTRANGE(""https://docs.google.com/spreadsheets/d/1rG8iy-kKSFDxhVaU60GJ2bpXc8tZqI1bT8U0Ac0DWTU/edit?usp=sharing"",""REGISTRATION!C:X""),22,FALSE)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33" s="33" t="str">
        <f>IFERROR(__xludf.DUMMYFUNCTION("IFNA(
IF(
VLOOKUP(C233,IMPORTRANGE(""https://docs.google.com/spreadsheets/d/1rG8iy-kKSFDxhVaU60GJ2bpXc8tZqI1bT8U0Ac0DWTU/edit?usp=sharing"",""REGISTRATION!C:AB""),26,FALSE)
=""No"",
""No Candy"",
""""
),
""""
)"),"")</f>
        <v/>
      </c>
      <c r="F233" s="32" t="str">
        <f>IFERROR(__xludf.DUMMYFUNCTION("IFNA(VLOOKUP(C233,IMPORTRANGE(""https://docs.google.com/spreadsheets/d/1rG8iy-kKSFDxhVaU60GJ2bpXc8tZqI1bT8U0Ac0DWTU/edit?usp=sharing"",""REGISTRATION!C:V""),18,FALSE),"""")"),"None")</f>
        <v>None</v>
      </c>
      <c r="G233" s="32" t="str">
        <f>IFERROR(__xludf.DUMMYFUNCTION("IFNA(VLOOKUP(C233,IMPORTRANGE(""https://docs.google.com/spreadsheets/d/1rG8iy-kKSFDxhVaU60GJ2bpXc8tZqI1bT8U0Ac0DWTU/edit?usp=sharing"",""REGISTRATION!C:V""),20,FALSE),"""")"),"")</f>
        <v/>
      </c>
      <c r="H233" s="32" t="str">
        <f>IFERROR(__xludf.DUMMYFUNCTION("IFNA(VLOOKUP(C233,IMPORTRANGE(""https://docs.google.com/spreadsheets/d/1rG8iy-kKSFDxhVaU60GJ2bpXc8tZqI1bT8U0Ac0DWTU/edit?usp=sharing"",""REGISTRATION!C:V""),19,FALSE),"""")"),"ADHD, asthma")</f>
        <v>ADHD, asthma</v>
      </c>
    </row>
    <row r="234">
      <c r="C234" s="34" t="s">
        <v>269</v>
      </c>
      <c r="D234" s="32" t="str">
        <f>IFERROR(__xludf.DUMMYFUNCTION("IFNA(
IF(
VLOOKUP(C234,IMPORTRANGE(""https://docs.google.com/spreadsheets/d/1rG8iy-kKSFDxhVaU60GJ2bpXc8tZqI1bT8U0Ac0DWTU/edit?usp=sharing"",""REGISTRATION!C:X""),22,FALSE)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34" s="33" t="str">
        <f>IFERROR(__xludf.DUMMYFUNCTION("IFNA(
IF(
VLOOKUP(C234,IMPORTRANGE(""https://docs.google.com/spreadsheets/d/1rG8iy-kKSFDxhVaU60GJ2bpXc8tZqI1bT8U0Ac0DWTU/edit?usp=sharing"",""REGISTRATION!C:AB""),26,FALSE)
=""No"",
""No Candy"",
""""
),
""""
)"),"")</f>
        <v/>
      </c>
      <c r="F234" s="32" t="str">
        <f>IFERROR(__xludf.DUMMYFUNCTION("IFNA(VLOOKUP(C234,IMPORTRANGE(""https://docs.google.com/spreadsheets/d/1rG8iy-kKSFDxhVaU60GJ2bpXc8tZqI1bT8U0Ac0DWTU/edit?usp=sharing"",""REGISTRATION!C:V""),18,FALSE),"""")"),"Penicillin ")</f>
        <v>Penicillin </v>
      </c>
      <c r="G234" s="32" t="str">
        <f>IFERROR(__xludf.DUMMYFUNCTION("IFNA(VLOOKUP(C234,IMPORTRANGE(""https://docs.google.com/spreadsheets/d/1rG8iy-kKSFDxhVaU60GJ2bpXc8tZqI1bT8U0Ac0DWTU/edit?usp=sharing"",""REGISTRATION!C:V""),20,FALSE),"""")"),"")</f>
        <v/>
      </c>
      <c r="H234" s="32" t="str">
        <f>IFERROR(__xludf.DUMMYFUNCTION("IFNA(VLOOKUP(C234,IMPORTRANGE(""https://docs.google.com/spreadsheets/d/1rG8iy-kKSFDxhVaU60GJ2bpXc8tZqI1bT8U0Ac0DWTU/edit?usp=sharing"",""REGISTRATION!C:V""),19,FALSE),"""")"),"None")</f>
        <v>None</v>
      </c>
    </row>
    <row r="235">
      <c r="C235" s="34" t="s">
        <v>270</v>
      </c>
      <c r="D235" s="32" t="str">
        <f>IFERROR(__xludf.DUMMYFUNCTION("IFNA(
IF(
VLOOKUP(C235,IMPORTRANGE(""https://docs.google.com/spreadsheets/d/1rG8iy-kKSFDxhVaU60GJ2bpXc8tZqI1bT8U0Ac0DWTU/edit?usp=sharing"",""REGISTRATION!C:X""),22,FALSE)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35" s="33" t="str">
        <f>IFERROR(__xludf.DUMMYFUNCTION("IFNA(
IF(
VLOOKUP(C235,IMPORTRANGE(""https://docs.google.com/spreadsheets/d/1rG8iy-kKSFDxhVaU60GJ2bpXc8tZqI1bT8U0Ac0DWTU/edit?usp=sharing"",""REGISTRATION!C:AB""),26,FALSE)
=""No"",
""No Candy"",
""""
),
""""
)"),"")</f>
        <v/>
      </c>
      <c r="F235" s="32" t="str">
        <f>IFERROR(__xludf.DUMMYFUNCTION("IFNA(VLOOKUP(C235,IMPORTRANGE(""https://docs.google.com/spreadsheets/d/1rG8iy-kKSFDxhVaU60GJ2bpXc8tZqI1bT8U0Ac0DWTU/edit?usp=sharing"",""REGISTRATION!C:V""),18,FALSE),"""")"),"None")</f>
        <v>None</v>
      </c>
      <c r="G235" s="32" t="str">
        <f>IFERROR(__xludf.DUMMYFUNCTION("IFNA(VLOOKUP(C235,IMPORTRANGE(""https://docs.google.com/spreadsheets/d/1rG8iy-kKSFDxhVaU60GJ2bpXc8tZqI1bT8U0Ac0DWTU/edit?usp=sharing"",""REGISTRATION!C:V""),20,FALSE),"""")"),"")</f>
        <v/>
      </c>
      <c r="H235" s="32" t="str">
        <f>IFERROR(__xludf.DUMMYFUNCTION("IFNA(VLOOKUP(C235,IMPORTRANGE(""https://docs.google.com/spreadsheets/d/1rG8iy-kKSFDxhVaU60GJ2bpXc8tZqI1bT8U0Ac0DWTU/edit?usp=sharing"",""REGISTRATION!C:V""),19,FALSE),"""")"),"ADHD")</f>
        <v>ADHD</v>
      </c>
    </row>
    <row r="236">
      <c r="C236" s="34" t="s">
        <v>132</v>
      </c>
      <c r="D236" s="32" t="str">
        <f>IFERROR(__xludf.DUMMYFUNCTION("IFNA(
IF(
VLOOKUP(C236,IMPORTRANGE(""https://docs.google.com/spreadsheets/d/1rG8iy-kKSFDxhVaU60GJ2bpXc8tZqI1bT8U0Ac0DWTU/edit?usp=sharing"",""REGISTRATION!C:X""),22,FALSE)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36" s="33" t="str">
        <f>IFERROR(__xludf.DUMMYFUNCTION("IFNA(
IF(
VLOOKUP(C236,IMPORTRANGE(""https://docs.google.com/spreadsheets/d/1rG8iy-kKSFDxhVaU60GJ2bpXc8tZqI1bT8U0Ac0DWTU/edit?usp=sharing"",""REGISTRATION!C:AB""),26,FALSE)
=""No"",
""No Candy"",
""""
),
""""
)"),"")</f>
        <v/>
      </c>
      <c r="F236" s="32" t="str">
        <f>IFERROR(__xludf.DUMMYFUNCTION("IFNA(VLOOKUP(C236,IMPORTRANGE(""https://docs.google.com/spreadsheets/d/1rG8iy-kKSFDxhVaU60GJ2bpXc8tZqI1bT8U0Ac0DWTU/edit?usp=sharing"",""REGISTRATION!C:V""),18,FALSE),"""")"),"None")</f>
        <v>None</v>
      </c>
      <c r="G236" s="32" t="str">
        <f>IFERROR(__xludf.DUMMYFUNCTION("IFNA(VLOOKUP(C236,IMPORTRANGE(""https://docs.google.com/spreadsheets/d/1rG8iy-kKSFDxhVaU60GJ2bpXc8tZqI1bT8U0Ac0DWTU/edit?usp=sharing"",""REGISTRATION!C:V""),20,FALSE),"""")"),"")</f>
        <v/>
      </c>
      <c r="H236" s="32" t="str">
        <f>IFERROR(__xludf.DUMMYFUNCTION("IFNA(VLOOKUP(C236,IMPORTRANGE(""https://docs.google.com/spreadsheets/d/1rG8iy-kKSFDxhVaU60GJ2bpXc8tZqI1bT8U0Ac0DWTU/edit?usp=sharing"",""REGISTRATION!C:V""),19,FALSE),"""")"),"None")</f>
        <v>None</v>
      </c>
    </row>
    <row r="237">
      <c r="C237" s="34" t="s">
        <v>271</v>
      </c>
      <c r="D237" s="32" t="str">
        <f>IFERROR(__xludf.DUMMYFUNCTION("IFNA(
IF(
VLOOKUP(C237,IMPORTRANGE(""https://docs.google.com/spreadsheets/d/1rG8iy-kKSFDxhVaU60GJ2bpXc8tZqI1bT8U0Ac0DWTU/edit?usp=sharing"",""REGISTRATION!C:X""),22,FALSE)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37" s="33" t="str">
        <f>IFERROR(__xludf.DUMMYFUNCTION("IFNA(
IF(
VLOOKUP(C237,IMPORTRANGE(""https://docs.google.com/spreadsheets/d/1rG8iy-kKSFDxhVaU60GJ2bpXc8tZqI1bT8U0Ac0DWTU/edit?usp=sharing"",""REGISTRATION!C:AB""),26,FALSE)
=""No"",
""No Candy"",
""""
),
""""
)"),"")</f>
        <v/>
      </c>
      <c r="F237" s="32" t="str">
        <f>IFERROR(__xludf.DUMMYFUNCTION("IFNA(VLOOKUP(C237,IMPORTRANGE(""https://docs.google.com/spreadsheets/d/1rG8iy-kKSFDxhVaU60GJ2bpXc8tZqI1bT8U0Ac0DWTU/edit?usp=sharing"",""REGISTRATION!C:V""),18,FALSE),"""")"),"None")</f>
        <v>None</v>
      </c>
      <c r="G237" s="32"/>
      <c r="H237" s="32" t="str">
        <f>IFERROR(__xludf.DUMMYFUNCTION("IFNA(VLOOKUP(C237,IMPORTRANGE(""https://docs.google.com/spreadsheets/d/1rG8iy-kKSFDxhVaU60GJ2bpXc8tZqI1bT8U0Ac0DWTU/edit?usp=sharing"",""REGISTRATION!C:V""),19,FALSE),"""")"),"None")</f>
        <v>None</v>
      </c>
    </row>
    <row r="238">
      <c r="C238" s="34" t="s">
        <v>272</v>
      </c>
      <c r="D238" s="32" t="str">
        <f>IFERROR(__xludf.DUMMYFUNCTION("IFNA(
IF(
VLOOKUP(C238,IMPORTRANGE(""https://docs.google.com/spreadsheets/d/1rG8iy-kKSFDxhVaU60GJ2bpXc8tZqI1bT8U0Ac0DWTU/edit?usp=sharing"",""REGISTRATION!C:X""),22,FALSE)
=""I qualify for Free and Reduced Lunch and WOULD like lunch to be provided for my "&amp;"child."",
""Yes"",
""""
),
""""
)"),"Yes")</f>
        <v>Yes</v>
      </c>
      <c r="E238" s="33" t="str">
        <f>IFERROR(__xludf.DUMMYFUNCTION("IFNA(
IF(
VLOOKUP(C238,IMPORTRANGE(""https://docs.google.com/spreadsheets/d/1rG8iy-kKSFDxhVaU60GJ2bpXc8tZqI1bT8U0Ac0DWTU/edit?usp=sharing"",""REGISTRATION!C:AB""),26,FALSE)
=""No"",
""No Candy"",
""""
),
""""
)"),"")</f>
        <v/>
      </c>
      <c r="F238" s="32" t="str">
        <f>IFERROR(__xludf.DUMMYFUNCTION("IFNA(VLOOKUP(C238,IMPORTRANGE(""https://docs.google.com/spreadsheets/d/1rG8iy-kKSFDxhVaU60GJ2bpXc8tZqI1bT8U0Ac0DWTU/edit?usp=sharing"",""REGISTRATION!C:V""),18,FALSE),"""")"),"None")</f>
        <v>None</v>
      </c>
      <c r="G238" s="32" t="str">
        <f>IFERROR(__xludf.DUMMYFUNCTION("IFNA(VLOOKUP(C238,IMPORTRANGE(""https://docs.google.com/spreadsheets/d/1rG8iy-kKSFDxhVaU60GJ2bpXc8tZqI1bT8U0Ac0DWTU/edit?usp=sharing"",""REGISTRATION!C:V""),20,FALSE),"""")"),"")</f>
        <v/>
      </c>
      <c r="H238" s="32" t="str">
        <f>IFERROR(__xludf.DUMMYFUNCTION("IFNA(VLOOKUP(C238,IMPORTRANGE(""https://docs.google.com/spreadsheets/d/1rG8iy-kKSFDxhVaU60GJ2bpXc8tZqI1bT8U0Ac0DWTU/edit?usp=sharing"",""REGISTRATION!C:V""),19,FALSE),"""")"),"None")</f>
        <v>None</v>
      </c>
    </row>
    <row r="239">
      <c r="C239" s="34" t="s">
        <v>273</v>
      </c>
      <c r="D239" s="32" t="str">
        <f>IFERROR(__xludf.DUMMYFUNCTION("IFNA(
IF(
VLOOKUP(C239,IMPORTRANGE(""https://docs.google.com/spreadsheets/d/1rG8iy-kKSFDxhVaU60GJ2bpXc8tZqI1bT8U0Ac0DWTU/edit?usp=sharing"",""REGISTRATION!C:X""),22,FALSE)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39" s="33" t="str">
        <f>IFERROR(__xludf.DUMMYFUNCTION("IFNA(
IF(
VLOOKUP(C239,IMPORTRANGE(""https://docs.google.com/spreadsheets/d/1rG8iy-kKSFDxhVaU60GJ2bpXc8tZqI1bT8U0Ac0DWTU/edit?usp=sharing"",""REGISTRATION!C:AB""),26,FALSE)
=""No"",
""No Candy"",
""""
),
""""
)"),"")</f>
        <v/>
      </c>
      <c r="F239" s="32" t="str">
        <f>IFERROR(__xludf.DUMMYFUNCTION("IFNA(VLOOKUP(C239,IMPORTRANGE(""https://docs.google.com/spreadsheets/d/1rG8iy-kKSFDxhVaU60GJ2bpXc8tZqI1bT8U0Ac0DWTU/edit?usp=sharing"",""REGISTRATION!C:V""),18,FALSE),"""")"),"None")</f>
        <v>None</v>
      </c>
      <c r="G239" s="32" t="str">
        <f>IFERROR(__xludf.DUMMYFUNCTION("IFNA(VLOOKUP(C239,IMPORTRANGE(""https://docs.google.com/spreadsheets/d/1rG8iy-kKSFDxhVaU60GJ2bpXc8tZqI1bT8U0Ac0DWTU/edit?usp=sharing"",""REGISTRATION!C:V""),20,FALSE),"""")"),"")</f>
        <v/>
      </c>
      <c r="H239" s="32" t="str">
        <f>IFERROR(__xludf.DUMMYFUNCTION("IFNA(VLOOKUP(C239,IMPORTRANGE(""https://docs.google.com/spreadsheets/d/1rG8iy-kKSFDxhVaU60GJ2bpXc8tZqI1bT8U0Ac0DWTU/edit?usp=sharing"",""REGISTRATION!C:V""),19,FALSE),"""")"),"None")</f>
        <v>None</v>
      </c>
    </row>
    <row r="240">
      <c r="C240" s="34" t="s">
        <v>187</v>
      </c>
      <c r="D240" s="32" t="str">
        <f>IFERROR(__xludf.DUMMYFUNCTION("IFNA(
IF(
VLOOKUP(C240,IMPORTRANGE(""https://docs.google.com/spreadsheets/d/1rG8iy-kKSFDxhVaU60GJ2bpXc8tZqI1bT8U0Ac0DWTU/edit?usp=sharing"",""REGISTRATION!C:X""),22,FALSE)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40" s="33" t="str">
        <f>IFERROR(__xludf.DUMMYFUNCTION("IFNA(
IF(
VLOOKUP(C240,IMPORTRANGE(""https://docs.google.com/spreadsheets/d/1rG8iy-kKSFDxhVaU60GJ2bpXc8tZqI1bT8U0Ac0DWTU/edit?usp=sharing"",""REGISTRATION!C:AB""),26,FALSE)
=""No"",
""No Candy"",
""""
),
""""
)"),"")</f>
        <v/>
      </c>
      <c r="F240" s="32" t="str">
        <f>IFERROR(__xludf.DUMMYFUNCTION("IFNA(VLOOKUP(C240,IMPORTRANGE(""https://docs.google.com/spreadsheets/d/1rG8iy-kKSFDxhVaU60GJ2bpXc8tZqI1bT8U0Ac0DWTU/edit?usp=sharing"",""REGISTRATION!C:V""),18,FALSE),"""")"),"None")</f>
        <v>None</v>
      </c>
      <c r="G240" s="32" t="str">
        <f>IFERROR(__xludf.DUMMYFUNCTION("IFNA(VLOOKUP(C240,IMPORTRANGE(""https://docs.google.com/spreadsheets/d/1rG8iy-kKSFDxhVaU60GJ2bpXc8tZqI1bT8U0Ac0DWTU/edit?usp=sharing"",""REGISTRATION!C:V""),20,FALSE),"""")"),"")</f>
        <v/>
      </c>
      <c r="H240" s="32" t="str">
        <f>IFERROR(__xludf.DUMMYFUNCTION("IFNA(VLOOKUP(C240,IMPORTRANGE(""https://docs.google.com/spreadsheets/d/1rG8iy-kKSFDxhVaU60GJ2bpXc8tZqI1bT8U0Ac0DWTU/edit?usp=sharing"",""REGISTRATION!C:V""),19,FALSE),"""")"),"None")</f>
        <v>None</v>
      </c>
    </row>
    <row r="241">
      <c r="C241" s="34" t="s">
        <v>188</v>
      </c>
      <c r="D241" s="32" t="str">
        <f>IFERROR(__xludf.DUMMYFUNCTION("IFNA(
IF(
VLOOKUP(C241,IMPORTRANGE(""https://docs.google.com/spreadsheets/d/1rG8iy-kKSFDxhVaU60GJ2bpXc8tZqI1bT8U0Ac0DWTU/edit?usp=sharing"",""REGISTRATION!C:X""),22,FALSE)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41" s="33" t="str">
        <f>IFERROR(__xludf.DUMMYFUNCTION("IFNA(
IF(
VLOOKUP(C241,IMPORTRANGE(""https://docs.google.com/spreadsheets/d/1rG8iy-kKSFDxhVaU60GJ2bpXc8tZqI1bT8U0Ac0DWTU/edit?usp=sharing"",""REGISTRATION!C:AB""),26,FALSE)
=""No"",
""No Candy"",
""""
),
""""
)"),"")</f>
        <v/>
      </c>
      <c r="F241" s="32" t="str">
        <f>IFERROR(__xludf.DUMMYFUNCTION("IFNA(VLOOKUP(C241,IMPORTRANGE(""https://docs.google.com/spreadsheets/d/1rG8iy-kKSFDxhVaU60GJ2bpXc8tZqI1bT8U0Ac0DWTU/edit?usp=sharing"",""REGISTRATION!C:V""),18,FALSE),"""")"),"None")</f>
        <v>None</v>
      </c>
      <c r="G241" s="32" t="str">
        <f>IFERROR(__xludf.DUMMYFUNCTION("IFNA(VLOOKUP(C241,IMPORTRANGE(""https://docs.google.com/spreadsheets/d/1rG8iy-kKSFDxhVaU60GJ2bpXc8tZqI1bT8U0Ac0DWTU/edit?usp=sharing"",""REGISTRATION!C:V""),20,FALSE),"""")"),"")</f>
        <v/>
      </c>
      <c r="H241" s="32" t="str">
        <f>IFERROR(__xludf.DUMMYFUNCTION("IFNA(VLOOKUP(C241,IMPORTRANGE(""https://docs.google.com/spreadsheets/d/1rG8iy-kKSFDxhVaU60GJ2bpXc8tZqI1bT8U0Ac0DWTU/edit?usp=sharing"",""REGISTRATION!C:V""),19,FALSE),"""")"),"None")</f>
        <v>None</v>
      </c>
    </row>
    <row r="242">
      <c r="C242" s="34" t="s">
        <v>179</v>
      </c>
      <c r="D242" s="32" t="str">
        <f>IFERROR(__xludf.DUMMYFUNCTION("IFNA(
IF(
VLOOKUP(C242,IMPORTRANGE(""https://docs.google.com/spreadsheets/d/1rG8iy-kKSFDxhVaU60GJ2bpXc8tZqI1bT8U0Ac0DWTU/edit?usp=sharing"",""REGISTRATION!C:X""),22,FALSE)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42" s="33" t="str">
        <f>IFERROR(__xludf.DUMMYFUNCTION("IFNA(
IF(
VLOOKUP(C242,IMPORTRANGE(""https://docs.google.com/spreadsheets/d/1rG8iy-kKSFDxhVaU60GJ2bpXc8tZqI1bT8U0Ac0DWTU/edit?usp=sharing"",""REGISTRATION!C:AB""),26,FALSE)
=""No"",
""No Candy"",
""""
),
""""
)"),"")</f>
        <v/>
      </c>
      <c r="F242" s="32" t="str">
        <f>IFERROR(__xludf.DUMMYFUNCTION("IFNA(VLOOKUP(C242,IMPORTRANGE(""https://docs.google.com/spreadsheets/d/1rG8iy-kKSFDxhVaU60GJ2bpXc8tZqI1bT8U0Ac0DWTU/edit?usp=sharing"",""REGISTRATION!C:V""),18,FALSE),"""")"),"None")</f>
        <v>None</v>
      </c>
      <c r="G242" s="32" t="str">
        <f>IFERROR(__xludf.DUMMYFUNCTION("IFNA(VLOOKUP(C242,IMPORTRANGE(""https://docs.google.com/spreadsheets/d/1rG8iy-kKSFDxhVaU60GJ2bpXc8tZqI1bT8U0Ac0DWTU/edit?usp=sharing"",""REGISTRATION!C:V""),20,FALSE),"""")"),"")</f>
        <v/>
      </c>
      <c r="H242" s="32" t="str">
        <f>IFERROR(__xludf.DUMMYFUNCTION("IFNA(VLOOKUP(C242,IMPORTRANGE(""https://docs.google.com/spreadsheets/d/1rG8iy-kKSFDxhVaU60GJ2bpXc8tZqI1bT8U0Ac0DWTU/edit?usp=sharing"",""REGISTRATION!C:V""),19,FALSE),"""")"),"Adhd")</f>
        <v>Adhd</v>
      </c>
    </row>
    <row r="243">
      <c r="C243" s="34" t="s">
        <v>190</v>
      </c>
      <c r="D243" s="32" t="str">
        <f>IFERROR(__xludf.DUMMYFUNCTION("IFNA(
IF(
VLOOKUP(C243,IMPORTRANGE(""https://docs.google.com/spreadsheets/d/1rG8iy-kKSFDxhVaU60GJ2bpXc8tZqI1bT8U0Ac0DWTU/edit?usp=sharing"",""REGISTRATION!C:X""),22,FALSE)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43" s="33" t="str">
        <f>IFERROR(__xludf.DUMMYFUNCTION("IFNA(
IF(
VLOOKUP(C243,IMPORTRANGE(""https://docs.google.com/spreadsheets/d/1rG8iy-kKSFDxhVaU60GJ2bpXc8tZqI1bT8U0Ac0DWTU/edit?usp=sharing"",""REGISTRATION!C:AB""),26,FALSE)
=""No"",
""No Candy"",
""""
),
""""
)"),"")</f>
        <v/>
      </c>
      <c r="F243" s="32" t="str">
        <f>IFERROR(__xludf.DUMMYFUNCTION("IFNA(VLOOKUP(C243,IMPORTRANGE(""https://docs.google.com/spreadsheets/d/1rG8iy-kKSFDxhVaU60GJ2bpXc8tZqI1bT8U0Ac0DWTU/edit?usp=sharing"",""REGISTRATION!C:V""),18,FALSE),"""")"),"None")</f>
        <v>None</v>
      </c>
      <c r="G243" s="32" t="str">
        <f>IFERROR(__xludf.DUMMYFUNCTION("IFNA(VLOOKUP(C243,IMPORTRANGE(""https://docs.google.com/spreadsheets/d/1rG8iy-kKSFDxhVaU60GJ2bpXc8tZqI1bT8U0Ac0DWTU/edit?usp=sharing"",""REGISTRATION!C:V""),20,FALSE),"""")"),"Twice exceptional")</f>
        <v>Twice exceptional</v>
      </c>
      <c r="H243" s="32" t="str">
        <f>IFERROR(__xludf.DUMMYFUNCTION("IFNA(VLOOKUP(C243,IMPORTRANGE(""https://docs.google.com/spreadsheets/d/1rG8iy-kKSFDxhVaU60GJ2bpXc8tZqI1bT8U0Ac0DWTU/edit?usp=sharing"",""REGISTRATION!C:V""),19,FALSE),"""")"),"ADHD, autism")</f>
        <v>ADHD, autism</v>
      </c>
    </row>
    <row r="244">
      <c r="C244" s="34" t="s">
        <v>109</v>
      </c>
      <c r="D244" s="32" t="str">
        <f>IFERROR(__xludf.DUMMYFUNCTION("IFNA(
IF(
VLOOKUP(C244,IMPORTRANGE(""https://docs.google.com/spreadsheets/d/1rG8iy-kKSFDxhVaU60GJ2bpXc8tZqI1bT8U0Ac0DWTU/edit?usp=sharing"",""REGISTRATION!C:X""),22,FALSE)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44" s="33" t="str">
        <f>IFERROR(__xludf.DUMMYFUNCTION("IFNA(
IF(
VLOOKUP(C244,IMPORTRANGE(""https://docs.google.com/spreadsheets/d/1rG8iy-kKSFDxhVaU60GJ2bpXc8tZqI1bT8U0Ac0DWTU/edit?usp=sharing"",""REGISTRATION!C:AB""),26,FALSE)
=""No"",
""No Candy"",
""""
),
""""
)"),"")</f>
        <v/>
      </c>
      <c r="F244" s="32" t="str">
        <f>IFERROR(__xludf.DUMMYFUNCTION("IFNA(VLOOKUP(C244,IMPORTRANGE(""https://docs.google.com/spreadsheets/d/1rG8iy-kKSFDxhVaU60GJ2bpXc8tZqI1bT8U0Ac0DWTU/edit?usp=sharing"",""REGISTRATION!C:V""),18,FALSE),"""")"),"None")</f>
        <v>None</v>
      </c>
      <c r="G244" s="32" t="str">
        <f>IFERROR(__xludf.DUMMYFUNCTION("IFNA(VLOOKUP(C244,IMPORTRANGE(""https://docs.google.com/spreadsheets/d/1rG8iy-kKSFDxhVaU60GJ2bpXc8tZqI1bT8U0Ac0DWTU/edit?usp=sharing"",""REGISTRATION!C:V""),20,FALSE),"""")"),"")</f>
        <v/>
      </c>
      <c r="H244" s="32" t="str">
        <f>IFERROR(__xludf.DUMMYFUNCTION("IFNA(VLOOKUP(C244,IMPORTRANGE(""https://docs.google.com/spreadsheets/d/1rG8iy-kKSFDxhVaU60GJ2bpXc8tZqI1bT8U0Ac0DWTU/edit?usp=sharing"",""REGISTRATION!C:V""),19,FALSE),"""")"),"None")</f>
        <v>None</v>
      </c>
    </row>
    <row r="245">
      <c r="C245" s="34" t="s">
        <v>274</v>
      </c>
      <c r="D245" s="32" t="str">
        <f>IFERROR(__xludf.DUMMYFUNCTION("IFNA(
IF(
VLOOKUP(C245,IMPORTRANGE(""https://docs.google.com/spreadsheets/d/1rG8iy-kKSFDxhVaU60GJ2bpXc8tZqI1bT8U0Ac0DWTU/edit?usp=sharing"",""REGISTRATION!C:X""),22,FALSE)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45" s="33" t="str">
        <f>IFERROR(__xludf.DUMMYFUNCTION("IFNA(
IF(
VLOOKUP(C245,IMPORTRANGE(""https://docs.google.com/spreadsheets/d/1rG8iy-kKSFDxhVaU60GJ2bpXc8tZqI1bT8U0Ac0DWTU/edit?usp=sharing"",""REGISTRATION!C:AB""),26,FALSE)
=""No"",
""No Candy"",
""""
),
""""
)"),"")</f>
        <v/>
      </c>
      <c r="F245" s="32" t="str">
        <f>IFERROR(__xludf.DUMMYFUNCTION("IFNA(VLOOKUP(C245,IMPORTRANGE(""https://docs.google.com/spreadsheets/d/1rG8iy-kKSFDxhVaU60GJ2bpXc8tZqI1bT8U0Ac0DWTU/edit?usp=sharing"",""REGISTRATION!C:V""),18,FALSE),"""")"),"None")</f>
        <v>None</v>
      </c>
      <c r="G245" s="32" t="str">
        <f>IFERROR(__xludf.DUMMYFUNCTION("IFNA(VLOOKUP(C245,IMPORTRANGE(""https://docs.google.com/spreadsheets/d/1rG8iy-kKSFDxhVaU60GJ2bpXc8tZqI1bT8U0Ac0DWTU/edit?usp=sharing"",""REGISTRATION!C:V""),20,FALSE),"""")"),"")</f>
        <v/>
      </c>
      <c r="H245" s="32" t="str">
        <f>IFERROR(__xludf.DUMMYFUNCTION("IFNA(VLOOKUP(C245,IMPORTRANGE(""https://docs.google.com/spreadsheets/d/1rG8iy-kKSFDxhVaU60GJ2bpXc8tZqI1bT8U0Ac0DWTU/edit?usp=sharing"",""REGISTRATION!C:V""),19,FALSE),"""")"),"None")</f>
        <v>None</v>
      </c>
    </row>
    <row r="246">
      <c r="C246" s="34" t="s">
        <v>115</v>
      </c>
      <c r="D246" s="32" t="str">
        <f>IFERROR(__xludf.DUMMYFUNCTION("IFNA(
IF(
VLOOKUP(C246,IMPORTRANGE(""https://docs.google.com/spreadsheets/d/1rG8iy-kKSFDxhVaU60GJ2bpXc8tZqI1bT8U0Ac0DWTU/edit?usp=sharing"",""REGISTRATION!C:X""),22,FALSE)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46" s="33" t="str">
        <f>IFERROR(__xludf.DUMMYFUNCTION("IFNA(
IF(
VLOOKUP(C246,IMPORTRANGE(""https://docs.google.com/spreadsheets/d/1rG8iy-kKSFDxhVaU60GJ2bpXc8tZqI1bT8U0Ac0DWTU/edit?usp=sharing"",""REGISTRATION!C:AB""),26,FALSE)
=""No"",
""No Candy"",
""""
),
""""
)"),"")</f>
        <v/>
      </c>
      <c r="F246" s="32" t="str">
        <f>IFERROR(__xludf.DUMMYFUNCTION("IFNA(VLOOKUP(C246,IMPORTRANGE(""https://docs.google.com/spreadsheets/d/1rG8iy-kKSFDxhVaU60GJ2bpXc8tZqI1bT8U0Ac0DWTU/edit?usp=sharing"",""REGISTRATION!C:V""),18,FALSE),"""")"),"None")</f>
        <v>None</v>
      </c>
      <c r="G246" s="32" t="str">
        <f>IFERROR(__xludf.DUMMYFUNCTION("IFNA(VLOOKUP(C246,IMPORTRANGE(""https://docs.google.com/spreadsheets/d/1rG8iy-kKSFDxhVaU60GJ2bpXc8tZqI1bT8U0Ac0DWTU/edit?usp=sharing"",""REGISTRATION!C:V""),20,FALSE),"""")"),"")</f>
        <v/>
      </c>
      <c r="H246" s="32" t="str">
        <f>IFERROR(__xludf.DUMMYFUNCTION("IFNA(VLOOKUP(C246,IMPORTRANGE(""https://docs.google.com/spreadsheets/d/1rG8iy-kKSFDxhVaU60GJ2bpXc8tZqI1bT8U0Ac0DWTU/edit?usp=sharing"",""REGISTRATION!C:V""),19,FALSE),"""")"),"None")</f>
        <v>None</v>
      </c>
    </row>
    <row r="247">
      <c r="C247" s="34" t="s">
        <v>275</v>
      </c>
      <c r="D247" s="32" t="str">
        <f>IFERROR(__xludf.DUMMYFUNCTION("IFNA(
IF(
VLOOKUP(C247,IMPORTRANGE(""https://docs.google.com/spreadsheets/d/1rG8iy-kKSFDxhVaU60GJ2bpXc8tZqI1bT8U0Ac0DWTU/edit?usp=sharing"",""REGISTRATION!C:X""),22,FALSE)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47" s="33" t="str">
        <f>IFERROR(__xludf.DUMMYFUNCTION("IFNA(
IF(
VLOOKUP(C247,IMPORTRANGE(""https://docs.google.com/spreadsheets/d/1rG8iy-kKSFDxhVaU60GJ2bpXc8tZqI1bT8U0Ac0DWTU/edit?usp=sharing"",""REGISTRATION!C:AB""),26,FALSE)
=""No"",
""No Candy"",
""""
),
""""
)"),"")</f>
        <v/>
      </c>
      <c r="F247" s="32" t="str">
        <f>IFERROR(__xludf.DUMMYFUNCTION("IFNA(VLOOKUP(C247,IMPORTRANGE(""https://docs.google.com/spreadsheets/d/1rG8iy-kKSFDxhVaU60GJ2bpXc8tZqI1bT8U0Ac0DWTU/edit?usp=sharing"",""REGISTRATION!C:V""),18,FALSE),"""")"),"None")</f>
        <v>None</v>
      </c>
      <c r="G247" s="32" t="str">
        <f>IFERROR(__xludf.DUMMYFUNCTION("IFNA(VLOOKUP(C247,IMPORTRANGE(""https://docs.google.com/spreadsheets/d/1rG8iy-kKSFDxhVaU60GJ2bpXc8tZqI1bT8U0Ac0DWTU/edit?usp=sharing"",""REGISTRATION!C:V""),20,FALSE),"""")"),"")</f>
        <v/>
      </c>
      <c r="H247" s="32" t="str">
        <f>IFERROR(__xludf.DUMMYFUNCTION("IFNA(VLOOKUP(C247,IMPORTRANGE(""https://docs.google.com/spreadsheets/d/1rG8iy-kKSFDxhVaU60GJ2bpXc8tZqI1bT8U0Ac0DWTU/edit?usp=sharing"",""REGISTRATION!C:V""),19,FALSE),"""")"),"None")</f>
        <v>None</v>
      </c>
    </row>
    <row r="248">
      <c r="C248" s="34" t="s">
        <v>276</v>
      </c>
      <c r="D248" s="32" t="str">
        <f>IFERROR(__xludf.DUMMYFUNCTION("IFNA(
IF(
VLOOKUP(C248,IMPORTRANGE(""https://docs.google.com/spreadsheets/d/1rG8iy-kKSFDxhVaU60GJ2bpXc8tZqI1bT8U0Ac0DWTU/edit?usp=sharing"",""REGISTRATION!C:X""),22,FALSE)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48" s="33" t="str">
        <f>IFERROR(__xludf.DUMMYFUNCTION("IFNA(
IF(
VLOOKUP(C248,IMPORTRANGE(""https://docs.google.com/spreadsheets/d/1rG8iy-kKSFDxhVaU60GJ2bpXc8tZqI1bT8U0Ac0DWTU/edit?usp=sharing"",""REGISTRATION!C:AB""),26,FALSE)
=""No"",
""No Candy"",
""""
),
""""
)"),"")</f>
        <v/>
      </c>
      <c r="F248" s="32" t="str">
        <f>IFERROR(__xludf.DUMMYFUNCTION("IFNA(VLOOKUP(C248,IMPORTRANGE(""https://docs.google.com/spreadsheets/d/1rG8iy-kKSFDxhVaU60GJ2bpXc8tZqI1bT8U0Ac0DWTU/edit?usp=sharing"",""REGISTRATION!C:V""),18,FALSE),"""")"),"None")</f>
        <v>None</v>
      </c>
      <c r="G248" s="32" t="str">
        <f>IFERROR(__xludf.DUMMYFUNCTION("IFNA(VLOOKUP(C248,IMPORTRANGE(""https://docs.google.com/spreadsheets/d/1rG8iy-kKSFDxhVaU60GJ2bpXc8tZqI1bT8U0Ac0DWTU/edit?usp=sharing"",""REGISTRATION!C:V""),20,FALSE),"""")"),"")</f>
        <v/>
      </c>
      <c r="H248" s="32" t="str">
        <f>IFERROR(__xludf.DUMMYFUNCTION("IFNA(VLOOKUP(C248,IMPORTRANGE(""https://docs.google.com/spreadsheets/d/1rG8iy-kKSFDxhVaU60GJ2bpXc8tZqI1bT8U0Ac0DWTU/edit?usp=sharing"",""REGISTRATION!C:V""),19,FALSE),"""")"),"None")</f>
        <v>None</v>
      </c>
    </row>
    <row r="249">
      <c r="C249" s="34" t="s">
        <v>277</v>
      </c>
      <c r="D249" s="32" t="str">
        <f>IFERROR(__xludf.DUMMYFUNCTION("IFNA(
IF(
VLOOKUP(C249,IMPORTRANGE(""https://docs.google.com/spreadsheets/d/1rG8iy-kKSFDxhVaU60GJ2bpXc8tZqI1bT8U0Ac0DWTU/edit?usp=sharing"",""REGISTRATION!C:X""),22,FALSE)
=""I qualify for Free and Reduced Lunch and WOULD like lunch to be provided for my "&amp;"child."",
""Yes"",
""""
),
""""
)"),"")</f>
        <v/>
      </c>
      <c r="E249" s="33" t="str">
        <f>IFERROR(__xludf.DUMMYFUNCTION("IFNA(
IF(
VLOOKUP(C249,IMPORTRANGE(""https://docs.google.com/spreadsheets/d/1rG8iy-kKSFDxhVaU60GJ2bpXc8tZqI1bT8U0Ac0DWTU/edit?usp=sharing"",""REGISTRATION!C:AB""),26,FALSE)
=""No"",
""No Candy"",
""""
),
""""
)"),"")</f>
        <v/>
      </c>
      <c r="F249" s="32" t="str">
        <f>IFERROR(__xludf.DUMMYFUNCTION("IFNA(VLOOKUP(C249,IMPORTRANGE(""https://docs.google.com/spreadsheets/d/1rG8iy-kKSFDxhVaU60GJ2bpXc8tZqI1bT8U0Ac0DWTU/edit?usp=sharing"",""REGISTRATION!C:V""),18,FALSE),"""")"),"None")</f>
        <v>None</v>
      </c>
      <c r="G249" s="32" t="str">
        <f>IFERROR(__xludf.DUMMYFUNCTION("IFNA(VLOOKUP(C249,IMPORTRANGE(""https://docs.google.com/spreadsheets/d/1rG8iy-kKSFDxhVaU60GJ2bpXc8tZqI1bT8U0Ac0DWTU/edit?usp=sharing"",""REGISTRATION!C:V""),20,FALSE),"""")"),"")</f>
        <v/>
      </c>
      <c r="H249" s="32" t="str">
        <f>IFERROR(__xludf.DUMMYFUNCTION("IFNA(VLOOKUP(C249,IMPORTRANGE(""https://docs.google.com/spreadsheets/d/1rG8iy-kKSFDxhVaU60GJ2bpXc8tZqI1bT8U0Ac0DWTU/edit?usp=sharing"",""REGISTRATION!C:V""),19,FALSE),"""")"),"None")</f>
        <v>None</v>
      </c>
    </row>
    <row r="250">
      <c r="A250" s="60"/>
      <c r="B250" s="60"/>
      <c r="C250" s="60"/>
      <c r="D250" s="60"/>
      <c r="E250" s="60"/>
      <c r="F250" s="60"/>
      <c r="G250" s="60"/>
      <c r="H250" s="60"/>
    </row>
    <row r="251">
      <c r="F251" s="63"/>
      <c r="G251" s="63"/>
      <c r="H251" s="63"/>
    </row>
    <row r="252">
      <c r="F252" s="63"/>
      <c r="G252" s="63"/>
      <c r="H252" s="63"/>
    </row>
    <row r="253">
      <c r="F253" s="63"/>
      <c r="G253" s="63"/>
      <c r="H253" s="63"/>
    </row>
    <row r="254">
      <c r="F254" s="63"/>
      <c r="G254" s="63"/>
      <c r="H254" s="63"/>
    </row>
    <row r="255">
      <c r="F255" s="63"/>
      <c r="G255" s="63"/>
      <c r="H255" s="63"/>
    </row>
    <row r="256">
      <c r="F256" s="63"/>
      <c r="G256" s="63"/>
      <c r="H256" s="63"/>
    </row>
    <row r="257">
      <c r="F257" s="63"/>
      <c r="G257" s="63"/>
      <c r="H257" s="63"/>
    </row>
    <row r="258">
      <c r="F258" s="63"/>
      <c r="G258" s="63"/>
      <c r="H258" s="63"/>
    </row>
    <row r="259">
      <c r="F259" s="63"/>
      <c r="G259" s="63"/>
      <c r="H259" s="63"/>
    </row>
    <row r="260">
      <c r="F260" s="63"/>
      <c r="G260" s="63"/>
      <c r="H260" s="63"/>
    </row>
    <row r="261">
      <c r="F261" s="63"/>
      <c r="G261" s="63"/>
      <c r="H261" s="63"/>
    </row>
    <row r="262">
      <c r="F262" s="63"/>
      <c r="G262" s="63"/>
      <c r="H262" s="63"/>
    </row>
    <row r="263">
      <c r="F263" s="63"/>
      <c r="G263" s="63"/>
      <c r="H263" s="63"/>
    </row>
    <row r="264">
      <c r="F264" s="63"/>
      <c r="G264" s="63"/>
      <c r="H264" s="63"/>
    </row>
    <row r="265">
      <c r="F265" s="63"/>
      <c r="G265" s="63"/>
      <c r="H265" s="63"/>
    </row>
    <row r="266">
      <c r="F266" s="63"/>
      <c r="G266" s="63"/>
      <c r="H266" s="63"/>
    </row>
    <row r="267">
      <c r="F267" s="63"/>
      <c r="G267" s="63"/>
      <c r="H267" s="63"/>
    </row>
    <row r="268">
      <c r="F268" s="63"/>
      <c r="G268" s="63"/>
      <c r="H268" s="63"/>
    </row>
    <row r="269">
      <c r="F269" s="63"/>
      <c r="G269" s="63"/>
      <c r="H269" s="63"/>
    </row>
    <row r="270">
      <c r="F270" s="63"/>
      <c r="G270" s="63"/>
      <c r="H270" s="63"/>
    </row>
    <row r="271">
      <c r="F271" s="63"/>
      <c r="G271" s="63"/>
      <c r="H271" s="63"/>
    </row>
    <row r="272">
      <c r="F272" s="63"/>
      <c r="G272" s="63"/>
      <c r="H272" s="63"/>
    </row>
    <row r="273">
      <c r="F273" s="63"/>
      <c r="G273" s="63"/>
      <c r="H273" s="63"/>
    </row>
    <row r="274">
      <c r="F274" s="63"/>
      <c r="G274" s="63"/>
      <c r="H274" s="63"/>
    </row>
    <row r="275">
      <c r="F275" s="63"/>
      <c r="G275" s="63"/>
      <c r="H275" s="63"/>
    </row>
    <row r="276">
      <c r="F276" s="63"/>
      <c r="G276" s="63"/>
      <c r="H276" s="63"/>
    </row>
    <row r="277">
      <c r="F277" s="63"/>
      <c r="G277" s="63"/>
      <c r="H277" s="63"/>
    </row>
    <row r="278">
      <c r="F278" s="63"/>
      <c r="G278" s="63"/>
      <c r="H278" s="63"/>
    </row>
    <row r="279">
      <c r="F279" s="63"/>
      <c r="G279" s="63"/>
      <c r="H279" s="63"/>
    </row>
    <row r="280">
      <c r="F280" s="63"/>
      <c r="G280" s="63"/>
      <c r="H280" s="63"/>
    </row>
    <row r="281">
      <c r="F281" s="63"/>
      <c r="G281" s="63"/>
      <c r="H281" s="63"/>
    </row>
    <row r="282">
      <c r="F282" s="63"/>
      <c r="G282" s="63"/>
      <c r="H282" s="63"/>
    </row>
    <row r="283">
      <c r="F283" s="63"/>
      <c r="G283" s="63"/>
      <c r="H283" s="63"/>
    </row>
    <row r="284">
      <c r="F284" s="63"/>
      <c r="G284" s="63"/>
      <c r="H284" s="63"/>
    </row>
    <row r="285">
      <c r="F285" s="63"/>
      <c r="G285" s="63"/>
      <c r="H285" s="63"/>
    </row>
    <row r="286">
      <c r="F286" s="63"/>
      <c r="G286" s="63"/>
      <c r="H286" s="63"/>
    </row>
    <row r="287">
      <c r="F287" s="63"/>
      <c r="G287" s="63"/>
      <c r="H287" s="63"/>
    </row>
    <row r="288">
      <c r="F288" s="63"/>
      <c r="G288" s="63"/>
      <c r="H288" s="63"/>
    </row>
    <row r="289">
      <c r="F289" s="63"/>
      <c r="G289" s="63"/>
      <c r="H289" s="63"/>
    </row>
    <row r="290">
      <c r="F290" s="63"/>
      <c r="G290" s="63"/>
      <c r="H290" s="63"/>
    </row>
    <row r="291">
      <c r="F291" s="63"/>
      <c r="G291" s="63"/>
      <c r="H291" s="63"/>
    </row>
    <row r="292">
      <c r="F292" s="63"/>
      <c r="G292" s="63"/>
      <c r="H292" s="63"/>
    </row>
    <row r="293">
      <c r="F293" s="63"/>
      <c r="G293" s="63"/>
      <c r="H293" s="63"/>
    </row>
    <row r="294">
      <c r="F294" s="63"/>
      <c r="G294" s="63"/>
      <c r="H294" s="63"/>
    </row>
    <row r="295">
      <c r="F295" s="63"/>
      <c r="G295" s="63"/>
      <c r="H295" s="63"/>
    </row>
    <row r="296">
      <c r="F296" s="63"/>
      <c r="G296" s="63"/>
      <c r="H296" s="63"/>
    </row>
    <row r="297">
      <c r="F297" s="63"/>
      <c r="G297" s="63"/>
      <c r="H297" s="63"/>
    </row>
    <row r="298">
      <c r="F298" s="63"/>
      <c r="G298" s="63"/>
      <c r="H298" s="63"/>
    </row>
    <row r="299">
      <c r="F299" s="63"/>
      <c r="G299" s="63"/>
      <c r="H299" s="63"/>
    </row>
    <row r="300">
      <c r="A300" s="64"/>
      <c r="F300" s="63"/>
      <c r="G300" s="63"/>
      <c r="H300" s="63"/>
    </row>
    <row r="301">
      <c r="A301" s="64"/>
      <c r="F301" s="63"/>
      <c r="G301" s="63"/>
      <c r="H301" s="63"/>
    </row>
    <row r="302">
      <c r="A302" s="64"/>
      <c r="F302" s="63"/>
      <c r="G302" s="63"/>
      <c r="H302" s="63"/>
    </row>
    <row r="303">
      <c r="A303" s="64"/>
      <c r="F303" s="63"/>
      <c r="G303" s="63"/>
      <c r="H303" s="63"/>
    </row>
    <row r="304">
      <c r="A304" s="64"/>
      <c r="F304" s="63"/>
      <c r="G304" s="63"/>
      <c r="H304" s="63"/>
    </row>
    <row r="305">
      <c r="A305" s="64"/>
      <c r="F305" s="63"/>
      <c r="G305" s="63"/>
      <c r="H305" s="63"/>
    </row>
    <row r="306">
      <c r="A306" s="64"/>
      <c r="F306" s="63"/>
      <c r="G306" s="63"/>
      <c r="H306" s="63"/>
    </row>
    <row r="307">
      <c r="A307" s="64"/>
      <c r="F307" s="63"/>
      <c r="G307" s="63"/>
      <c r="H307" s="63"/>
    </row>
    <row r="308">
      <c r="A308" s="64"/>
      <c r="F308" s="63"/>
      <c r="G308" s="63"/>
      <c r="H308" s="63"/>
    </row>
    <row r="309">
      <c r="A309" s="64"/>
      <c r="F309" s="63"/>
      <c r="G309" s="63"/>
      <c r="H309" s="63"/>
    </row>
    <row r="310">
      <c r="A310" s="64"/>
      <c r="F310" s="63"/>
      <c r="G310" s="63"/>
      <c r="H310" s="63"/>
    </row>
    <row r="311">
      <c r="A311" s="64"/>
      <c r="F311" s="63"/>
      <c r="G311" s="63"/>
      <c r="H311" s="63"/>
    </row>
    <row r="312">
      <c r="A312" s="64"/>
      <c r="F312" s="63"/>
      <c r="G312" s="63"/>
      <c r="H312" s="63"/>
    </row>
    <row r="313">
      <c r="A313" s="64"/>
      <c r="F313" s="63"/>
      <c r="G313" s="63"/>
      <c r="H313" s="63"/>
    </row>
    <row r="314">
      <c r="A314" s="64"/>
      <c r="F314" s="63"/>
      <c r="G314" s="63"/>
      <c r="H314" s="63"/>
    </row>
    <row r="315">
      <c r="A315" s="64"/>
      <c r="F315" s="63"/>
      <c r="G315" s="63"/>
      <c r="H315" s="63"/>
    </row>
    <row r="316">
      <c r="A316" s="64"/>
      <c r="F316" s="63"/>
      <c r="G316" s="63"/>
      <c r="H316" s="63"/>
    </row>
    <row r="317">
      <c r="A317" s="64"/>
      <c r="F317" s="63"/>
      <c r="G317" s="63"/>
      <c r="H317" s="63"/>
    </row>
    <row r="318">
      <c r="A318" s="64"/>
      <c r="F318" s="63"/>
      <c r="G318" s="63"/>
      <c r="H318" s="63"/>
    </row>
    <row r="319">
      <c r="A319" s="64"/>
      <c r="F319" s="63"/>
      <c r="G319" s="63"/>
      <c r="H319" s="63"/>
    </row>
    <row r="320">
      <c r="A320" s="64"/>
      <c r="F320" s="63"/>
      <c r="G320" s="63"/>
      <c r="H320" s="63"/>
    </row>
    <row r="321">
      <c r="A321" s="64"/>
      <c r="F321" s="63"/>
      <c r="G321" s="63"/>
      <c r="H321" s="63"/>
    </row>
    <row r="322">
      <c r="A322" s="64"/>
      <c r="F322" s="63"/>
      <c r="G322" s="63"/>
      <c r="H322" s="63"/>
    </row>
    <row r="323">
      <c r="A323" s="64"/>
      <c r="F323" s="63"/>
      <c r="G323" s="63"/>
      <c r="H323" s="63"/>
    </row>
    <row r="324">
      <c r="A324" s="64"/>
      <c r="F324" s="63"/>
      <c r="G324" s="63"/>
      <c r="H324" s="63"/>
    </row>
    <row r="325">
      <c r="A325" s="64"/>
      <c r="F325" s="63"/>
      <c r="G325" s="63"/>
      <c r="H325" s="63"/>
    </row>
    <row r="326">
      <c r="A326" s="64"/>
      <c r="F326" s="63"/>
      <c r="G326" s="63"/>
      <c r="H326" s="63"/>
    </row>
    <row r="327">
      <c r="A327" s="64"/>
      <c r="F327" s="63"/>
      <c r="G327" s="63"/>
      <c r="H327" s="63"/>
    </row>
    <row r="328">
      <c r="A328" s="64"/>
      <c r="F328" s="63"/>
      <c r="G328" s="63"/>
      <c r="H328" s="63"/>
    </row>
    <row r="329">
      <c r="A329" s="64"/>
      <c r="F329" s="63"/>
      <c r="G329" s="63"/>
      <c r="H329" s="63"/>
    </row>
    <row r="330">
      <c r="A330" s="64"/>
      <c r="F330" s="63"/>
      <c r="G330" s="63"/>
      <c r="H330" s="63"/>
    </row>
    <row r="331">
      <c r="A331" s="64"/>
      <c r="F331" s="63"/>
      <c r="G331" s="63"/>
      <c r="H331" s="63"/>
    </row>
    <row r="332">
      <c r="A332" s="64"/>
      <c r="F332" s="63"/>
      <c r="G332" s="63"/>
      <c r="H332" s="63"/>
    </row>
    <row r="333">
      <c r="A333" s="64"/>
      <c r="F333" s="63"/>
      <c r="G333" s="63"/>
      <c r="H333" s="63"/>
    </row>
    <row r="334">
      <c r="A334" s="64"/>
      <c r="F334" s="63"/>
      <c r="G334" s="63"/>
      <c r="H334" s="63"/>
    </row>
    <row r="335">
      <c r="A335" s="64"/>
      <c r="F335" s="63"/>
      <c r="G335" s="63"/>
      <c r="H335" s="63"/>
    </row>
    <row r="336">
      <c r="A336" s="64"/>
      <c r="F336" s="63"/>
      <c r="G336" s="63"/>
      <c r="H336" s="63"/>
    </row>
    <row r="337">
      <c r="A337" s="64"/>
      <c r="F337" s="63"/>
      <c r="G337" s="63"/>
      <c r="H337" s="63"/>
    </row>
    <row r="338">
      <c r="A338" s="64"/>
      <c r="F338" s="63"/>
      <c r="G338" s="63"/>
      <c r="H338" s="63"/>
    </row>
    <row r="339">
      <c r="A339" s="64"/>
      <c r="F339" s="63"/>
      <c r="G339" s="63"/>
      <c r="H339" s="63"/>
    </row>
    <row r="340">
      <c r="A340" s="64"/>
      <c r="F340" s="63"/>
      <c r="G340" s="63"/>
      <c r="H340" s="63"/>
    </row>
    <row r="341">
      <c r="A341" s="64"/>
      <c r="F341" s="63"/>
      <c r="G341" s="63"/>
      <c r="H341" s="63"/>
    </row>
    <row r="342">
      <c r="A342" s="64"/>
      <c r="F342" s="63"/>
      <c r="G342" s="63"/>
      <c r="H342" s="63"/>
    </row>
    <row r="343">
      <c r="A343" s="64"/>
      <c r="F343" s="63"/>
      <c r="G343" s="63"/>
      <c r="H343" s="63"/>
    </row>
    <row r="344">
      <c r="A344" s="64"/>
      <c r="F344" s="63"/>
      <c r="G344" s="63"/>
      <c r="H344" s="63"/>
    </row>
    <row r="345">
      <c r="A345" s="64"/>
      <c r="F345" s="63"/>
      <c r="G345" s="63"/>
      <c r="H345" s="63"/>
    </row>
    <row r="346">
      <c r="A346" s="64"/>
      <c r="F346" s="63"/>
      <c r="G346" s="63"/>
      <c r="H346" s="63"/>
    </row>
    <row r="347">
      <c r="A347" s="64"/>
      <c r="F347" s="63"/>
      <c r="G347" s="63"/>
      <c r="H347" s="63"/>
    </row>
    <row r="348">
      <c r="A348" s="64"/>
      <c r="F348" s="63"/>
      <c r="G348" s="63"/>
      <c r="H348" s="63"/>
    </row>
    <row r="349">
      <c r="A349" s="64"/>
      <c r="F349" s="63"/>
      <c r="G349" s="63"/>
      <c r="H349" s="63"/>
    </row>
    <row r="350">
      <c r="A350" s="64"/>
      <c r="F350" s="63"/>
      <c r="G350" s="63"/>
      <c r="H350" s="63"/>
    </row>
    <row r="351">
      <c r="A351" s="64"/>
      <c r="F351" s="63"/>
      <c r="G351" s="63"/>
      <c r="H351" s="63"/>
    </row>
    <row r="352">
      <c r="A352" s="64"/>
      <c r="F352" s="63"/>
      <c r="G352" s="63"/>
      <c r="H352" s="63"/>
    </row>
    <row r="353">
      <c r="A353" s="64"/>
      <c r="F353" s="63"/>
      <c r="G353" s="63"/>
      <c r="H353" s="63"/>
    </row>
    <row r="354">
      <c r="A354" s="64"/>
      <c r="F354" s="63"/>
      <c r="G354" s="63"/>
      <c r="H354" s="63"/>
    </row>
    <row r="355">
      <c r="A355" s="64"/>
      <c r="F355" s="63"/>
      <c r="G355" s="63"/>
      <c r="H355" s="63"/>
    </row>
    <row r="356">
      <c r="A356" s="64"/>
      <c r="F356" s="63"/>
      <c r="G356" s="63"/>
      <c r="H356" s="63"/>
    </row>
    <row r="357">
      <c r="A357" s="64"/>
      <c r="F357" s="63"/>
      <c r="G357" s="63"/>
      <c r="H357" s="63"/>
    </row>
    <row r="358">
      <c r="A358" s="64"/>
      <c r="F358" s="63"/>
      <c r="G358" s="63"/>
      <c r="H358" s="63"/>
    </row>
    <row r="359">
      <c r="A359" s="64"/>
      <c r="F359" s="63"/>
      <c r="G359" s="63"/>
      <c r="H359" s="63"/>
    </row>
    <row r="360">
      <c r="A360" s="64"/>
      <c r="F360" s="63"/>
      <c r="G360" s="63"/>
      <c r="H360" s="63"/>
    </row>
    <row r="361">
      <c r="A361" s="64"/>
      <c r="F361" s="63"/>
      <c r="G361" s="63"/>
      <c r="H361" s="63"/>
    </row>
    <row r="362">
      <c r="A362" s="64"/>
      <c r="F362" s="63"/>
      <c r="G362" s="63"/>
      <c r="H362" s="63"/>
    </row>
    <row r="363">
      <c r="A363" s="64"/>
      <c r="F363" s="63"/>
      <c r="G363" s="63"/>
      <c r="H363" s="63"/>
    </row>
    <row r="364">
      <c r="A364" s="64"/>
      <c r="F364" s="63"/>
      <c r="G364" s="63"/>
      <c r="H364" s="63"/>
    </row>
    <row r="365">
      <c r="A365" s="64"/>
      <c r="F365" s="63"/>
      <c r="G365" s="63"/>
      <c r="H365" s="63"/>
    </row>
    <row r="366">
      <c r="A366" s="64"/>
      <c r="F366" s="63"/>
      <c r="G366" s="63"/>
      <c r="H366" s="63"/>
    </row>
    <row r="367">
      <c r="A367" s="64"/>
      <c r="F367" s="63"/>
      <c r="G367" s="63"/>
      <c r="H367" s="63"/>
    </row>
    <row r="368">
      <c r="A368" s="64"/>
      <c r="F368" s="63"/>
      <c r="G368" s="63"/>
      <c r="H368" s="63"/>
    </row>
    <row r="369">
      <c r="A369" s="64"/>
      <c r="F369" s="63"/>
      <c r="G369" s="63"/>
      <c r="H369" s="63"/>
    </row>
    <row r="370">
      <c r="A370" s="64"/>
      <c r="F370" s="63"/>
      <c r="G370" s="63"/>
      <c r="H370" s="63"/>
    </row>
    <row r="371">
      <c r="A371" s="64"/>
      <c r="F371" s="63"/>
      <c r="G371" s="63"/>
      <c r="H371" s="63"/>
    </row>
    <row r="372">
      <c r="A372" s="64"/>
      <c r="F372" s="63"/>
      <c r="G372" s="63"/>
      <c r="H372" s="63"/>
    </row>
    <row r="373">
      <c r="A373" s="64"/>
      <c r="F373" s="63"/>
      <c r="G373" s="63"/>
      <c r="H373" s="63"/>
    </row>
    <row r="374">
      <c r="A374" s="64"/>
      <c r="F374" s="63"/>
      <c r="G374" s="63"/>
      <c r="H374" s="63"/>
    </row>
    <row r="375">
      <c r="A375" s="64"/>
      <c r="F375" s="63"/>
      <c r="G375" s="63"/>
      <c r="H375" s="63"/>
    </row>
    <row r="376">
      <c r="A376" s="64"/>
      <c r="F376" s="63"/>
      <c r="G376" s="63"/>
      <c r="H376" s="63"/>
    </row>
    <row r="377">
      <c r="A377" s="64"/>
      <c r="F377" s="63"/>
      <c r="G377" s="63"/>
      <c r="H377" s="63"/>
    </row>
    <row r="378">
      <c r="A378" s="64"/>
      <c r="F378" s="63"/>
      <c r="G378" s="63"/>
      <c r="H378" s="63"/>
    </row>
    <row r="379">
      <c r="A379" s="64"/>
      <c r="F379" s="63"/>
      <c r="G379" s="63"/>
      <c r="H379" s="63"/>
    </row>
    <row r="380">
      <c r="A380" s="64"/>
      <c r="F380" s="63"/>
      <c r="G380" s="63"/>
      <c r="H380" s="63"/>
    </row>
    <row r="381">
      <c r="A381" s="64"/>
      <c r="F381" s="63"/>
      <c r="G381" s="63"/>
      <c r="H381" s="63"/>
    </row>
    <row r="382">
      <c r="A382" s="64"/>
      <c r="F382" s="63"/>
      <c r="G382" s="63"/>
      <c r="H382" s="63"/>
    </row>
    <row r="383">
      <c r="A383" s="64"/>
      <c r="F383" s="63"/>
      <c r="G383" s="63"/>
      <c r="H383" s="63"/>
    </row>
    <row r="384">
      <c r="A384" s="64"/>
      <c r="F384" s="63"/>
      <c r="G384" s="63"/>
      <c r="H384" s="63"/>
    </row>
    <row r="385">
      <c r="A385" s="64"/>
      <c r="F385" s="63"/>
      <c r="G385" s="63"/>
      <c r="H385" s="63"/>
    </row>
    <row r="386">
      <c r="A386" s="64"/>
      <c r="F386" s="63"/>
      <c r="G386" s="63"/>
      <c r="H386" s="63"/>
    </row>
    <row r="387">
      <c r="A387" s="64"/>
      <c r="F387" s="63"/>
      <c r="G387" s="63"/>
      <c r="H387" s="63"/>
    </row>
    <row r="388">
      <c r="A388" s="64"/>
      <c r="F388" s="63"/>
      <c r="G388" s="63"/>
      <c r="H388" s="63"/>
    </row>
    <row r="389">
      <c r="A389" s="64"/>
      <c r="F389" s="63"/>
      <c r="G389" s="63"/>
      <c r="H389" s="63"/>
    </row>
    <row r="390">
      <c r="A390" s="64"/>
      <c r="F390" s="63"/>
      <c r="G390" s="63"/>
      <c r="H390" s="63"/>
    </row>
    <row r="391">
      <c r="A391" s="64"/>
      <c r="F391" s="63"/>
      <c r="G391" s="63"/>
      <c r="H391" s="63"/>
    </row>
    <row r="392">
      <c r="A392" s="64"/>
      <c r="F392" s="63"/>
      <c r="G392" s="63"/>
      <c r="H392" s="63"/>
    </row>
    <row r="393">
      <c r="A393" s="64"/>
      <c r="F393" s="63"/>
      <c r="G393" s="63"/>
      <c r="H393" s="63"/>
    </row>
    <row r="394">
      <c r="A394" s="64"/>
      <c r="F394" s="63"/>
      <c r="G394" s="63"/>
      <c r="H394" s="63"/>
    </row>
    <row r="395">
      <c r="A395" s="64"/>
      <c r="F395" s="63"/>
      <c r="G395" s="63"/>
      <c r="H395" s="63"/>
    </row>
    <row r="396">
      <c r="A396" s="64"/>
      <c r="F396" s="63"/>
      <c r="G396" s="63"/>
      <c r="H396" s="63"/>
    </row>
    <row r="397">
      <c r="A397" s="64"/>
      <c r="F397" s="63"/>
      <c r="G397" s="63"/>
      <c r="H397" s="63"/>
    </row>
    <row r="398">
      <c r="A398" s="64"/>
      <c r="F398" s="63"/>
      <c r="G398" s="63"/>
      <c r="H398" s="63"/>
    </row>
    <row r="399">
      <c r="A399" s="64"/>
      <c r="F399" s="63"/>
      <c r="G399" s="63"/>
      <c r="H399" s="63"/>
    </row>
    <row r="400">
      <c r="A400" s="64"/>
      <c r="F400" s="63"/>
      <c r="G400" s="63"/>
      <c r="H400" s="63"/>
    </row>
    <row r="401">
      <c r="A401" s="64"/>
      <c r="F401" s="63"/>
      <c r="G401" s="63"/>
      <c r="H401" s="63"/>
    </row>
    <row r="402">
      <c r="A402" s="64"/>
      <c r="F402" s="63"/>
      <c r="G402" s="63"/>
      <c r="H402" s="63"/>
    </row>
    <row r="403">
      <c r="A403" s="64"/>
      <c r="F403" s="63"/>
      <c r="G403" s="63"/>
      <c r="H403" s="63"/>
    </row>
    <row r="404">
      <c r="A404" s="64"/>
      <c r="F404" s="63"/>
      <c r="G404" s="63"/>
      <c r="H404" s="63"/>
    </row>
    <row r="405">
      <c r="A405" s="64"/>
      <c r="F405" s="63"/>
      <c r="G405" s="63"/>
      <c r="H405" s="63"/>
    </row>
    <row r="406">
      <c r="A406" s="64"/>
      <c r="F406" s="63"/>
      <c r="G406" s="63"/>
      <c r="H406" s="63"/>
    </row>
    <row r="407">
      <c r="A407" s="64"/>
      <c r="F407" s="63"/>
      <c r="G407" s="63"/>
      <c r="H407" s="63"/>
    </row>
    <row r="408">
      <c r="A408" s="64"/>
      <c r="F408" s="63"/>
      <c r="G408" s="63"/>
      <c r="H408" s="63"/>
    </row>
    <row r="409">
      <c r="A409" s="64"/>
      <c r="F409" s="63"/>
      <c r="G409" s="63"/>
      <c r="H409" s="63"/>
    </row>
    <row r="410">
      <c r="A410" s="64"/>
      <c r="F410" s="63"/>
      <c r="G410" s="63"/>
      <c r="H410" s="63"/>
    </row>
    <row r="411">
      <c r="A411" s="64"/>
      <c r="F411" s="63"/>
      <c r="G411" s="63"/>
      <c r="H411" s="63"/>
    </row>
    <row r="412">
      <c r="A412" s="64"/>
      <c r="F412" s="63"/>
      <c r="G412" s="63"/>
      <c r="H412" s="63"/>
    </row>
    <row r="413">
      <c r="A413" s="64"/>
      <c r="F413" s="63"/>
      <c r="G413" s="63"/>
      <c r="H413" s="63"/>
    </row>
    <row r="414">
      <c r="A414" s="64"/>
      <c r="F414" s="63"/>
      <c r="G414" s="63"/>
      <c r="H414" s="63"/>
    </row>
    <row r="415">
      <c r="A415" s="64"/>
      <c r="F415" s="63"/>
      <c r="G415" s="63"/>
      <c r="H415" s="63"/>
    </row>
    <row r="416">
      <c r="A416" s="64"/>
      <c r="F416" s="63"/>
      <c r="G416" s="63"/>
      <c r="H416" s="63"/>
    </row>
    <row r="417">
      <c r="A417" s="64"/>
      <c r="F417" s="63"/>
      <c r="G417" s="63"/>
      <c r="H417" s="63"/>
    </row>
    <row r="418">
      <c r="A418" s="64"/>
      <c r="F418" s="63"/>
      <c r="G418" s="63"/>
      <c r="H418" s="63"/>
    </row>
    <row r="419">
      <c r="A419" s="64"/>
      <c r="F419" s="63"/>
      <c r="G419" s="63"/>
      <c r="H419" s="63"/>
    </row>
    <row r="420">
      <c r="A420" s="64"/>
      <c r="F420" s="63"/>
      <c r="G420" s="63"/>
      <c r="H420" s="63"/>
    </row>
    <row r="421">
      <c r="A421" s="64"/>
      <c r="F421" s="63"/>
      <c r="G421" s="63"/>
      <c r="H421" s="63"/>
    </row>
    <row r="422">
      <c r="A422" s="64"/>
      <c r="F422" s="63"/>
      <c r="G422" s="63"/>
      <c r="H422" s="63"/>
    </row>
    <row r="423">
      <c r="A423" s="64"/>
      <c r="F423" s="63"/>
      <c r="G423" s="63"/>
      <c r="H423" s="63"/>
    </row>
    <row r="424">
      <c r="A424" s="64"/>
      <c r="F424" s="63"/>
      <c r="G424" s="63"/>
      <c r="H424" s="63"/>
    </row>
    <row r="425">
      <c r="A425" s="64"/>
      <c r="F425" s="63"/>
      <c r="G425" s="63"/>
      <c r="H425" s="63"/>
    </row>
    <row r="426">
      <c r="A426" s="64"/>
      <c r="F426" s="63"/>
      <c r="G426" s="63"/>
      <c r="H426" s="63"/>
    </row>
    <row r="427">
      <c r="A427" s="64"/>
      <c r="F427" s="63"/>
      <c r="G427" s="63"/>
      <c r="H427" s="63"/>
    </row>
    <row r="428">
      <c r="A428" s="64"/>
      <c r="F428" s="63"/>
      <c r="G428" s="63"/>
      <c r="H428" s="63"/>
    </row>
    <row r="429">
      <c r="A429" s="64"/>
      <c r="F429" s="63"/>
      <c r="G429" s="63"/>
      <c r="H429" s="63"/>
    </row>
    <row r="430">
      <c r="A430" s="64"/>
      <c r="F430" s="63"/>
      <c r="G430" s="63"/>
      <c r="H430" s="63"/>
    </row>
    <row r="431">
      <c r="A431" s="64"/>
      <c r="F431" s="63"/>
      <c r="G431" s="63"/>
      <c r="H431" s="63"/>
    </row>
    <row r="432">
      <c r="A432" s="64"/>
      <c r="F432" s="63"/>
      <c r="G432" s="63"/>
      <c r="H432" s="63"/>
    </row>
    <row r="433">
      <c r="A433" s="64"/>
      <c r="F433" s="63"/>
      <c r="G433" s="63"/>
      <c r="H433" s="63"/>
    </row>
    <row r="434">
      <c r="A434" s="64"/>
      <c r="F434" s="63"/>
      <c r="G434" s="63"/>
      <c r="H434" s="63"/>
    </row>
    <row r="435">
      <c r="A435" s="64"/>
      <c r="F435" s="63"/>
      <c r="G435" s="63"/>
      <c r="H435" s="63"/>
    </row>
    <row r="436">
      <c r="A436" s="64"/>
      <c r="F436" s="63"/>
      <c r="G436" s="63"/>
      <c r="H436" s="63"/>
    </row>
    <row r="437">
      <c r="A437" s="64"/>
      <c r="F437" s="63"/>
      <c r="G437" s="63"/>
      <c r="H437" s="63"/>
    </row>
    <row r="438">
      <c r="A438" s="64"/>
      <c r="F438" s="63"/>
      <c r="G438" s="63"/>
      <c r="H438" s="63"/>
    </row>
    <row r="439">
      <c r="A439" s="64"/>
      <c r="F439" s="63"/>
      <c r="G439" s="63"/>
      <c r="H439" s="63"/>
    </row>
    <row r="440">
      <c r="A440" s="64"/>
      <c r="F440" s="63"/>
      <c r="G440" s="63"/>
      <c r="H440" s="63"/>
    </row>
    <row r="441">
      <c r="A441" s="64"/>
      <c r="F441" s="63"/>
      <c r="G441" s="63"/>
      <c r="H441" s="63"/>
    </row>
    <row r="442">
      <c r="A442" s="64"/>
      <c r="F442" s="63"/>
      <c r="G442" s="63"/>
      <c r="H442" s="63"/>
    </row>
    <row r="443">
      <c r="A443" s="64"/>
      <c r="F443" s="63"/>
      <c r="G443" s="63"/>
      <c r="H443" s="63"/>
    </row>
    <row r="444">
      <c r="A444" s="64"/>
      <c r="F444" s="63"/>
      <c r="G444" s="63"/>
      <c r="H444" s="63"/>
    </row>
    <row r="445">
      <c r="A445" s="64"/>
      <c r="F445" s="63"/>
      <c r="G445" s="63"/>
      <c r="H445" s="63"/>
    </row>
    <row r="446">
      <c r="A446" s="64"/>
      <c r="F446" s="63"/>
      <c r="G446" s="63"/>
      <c r="H446" s="63"/>
    </row>
    <row r="447">
      <c r="A447" s="64"/>
      <c r="F447" s="63"/>
      <c r="G447" s="63"/>
      <c r="H447" s="63"/>
    </row>
    <row r="448">
      <c r="A448" s="64"/>
      <c r="F448" s="63"/>
      <c r="G448" s="63"/>
      <c r="H448" s="63"/>
    </row>
    <row r="449">
      <c r="A449" s="64"/>
      <c r="F449" s="63"/>
      <c r="G449" s="63"/>
      <c r="H449" s="63"/>
    </row>
    <row r="450">
      <c r="A450" s="64"/>
      <c r="F450" s="63"/>
      <c r="G450" s="63"/>
      <c r="H450" s="63"/>
    </row>
    <row r="451">
      <c r="A451" s="64"/>
      <c r="F451" s="63"/>
      <c r="G451" s="63"/>
      <c r="H451" s="63"/>
    </row>
    <row r="452">
      <c r="A452" s="64"/>
      <c r="F452" s="63"/>
      <c r="G452" s="63"/>
      <c r="H452" s="63"/>
    </row>
    <row r="453">
      <c r="A453" s="64"/>
      <c r="F453" s="63"/>
      <c r="G453" s="63"/>
      <c r="H453" s="63"/>
    </row>
    <row r="454">
      <c r="A454" s="64"/>
      <c r="F454" s="63"/>
      <c r="G454" s="63"/>
      <c r="H454" s="63"/>
    </row>
    <row r="455">
      <c r="A455" s="64"/>
      <c r="F455" s="63"/>
      <c r="G455" s="63"/>
      <c r="H455" s="63"/>
    </row>
    <row r="456">
      <c r="A456" s="64"/>
      <c r="F456" s="63"/>
      <c r="G456" s="63"/>
      <c r="H456" s="63"/>
    </row>
    <row r="457">
      <c r="A457" s="64"/>
      <c r="F457" s="63"/>
      <c r="G457" s="63"/>
      <c r="H457" s="63"/>
    </row>
    <row r="458">
      <c r="A458" s="64"/>
      <c r="F458" s="63"/>
      <c r="G458" s="63"/>
      <c r="H458" s="63"/>
    </row>
    <row r="459">
      <c r="A459" s="64"/>
      <c r="F459" s="63"/>
      <c r="G459" s="63"/>
      <c r="H459" s="63"/>
    </row>
    <row r="460">
      <c r="A460" s="64"/>
      <c r="F460" s="63"/>
      <c r="G460" s="63"/>
      <c r="H460" s="63"/>
    </row>
    <row r="461">
      <c r="A461" s="64"/>
      <c r="F461" s="63"/>
      <c r="G461" s="63"/>
      <c r="H461" s="63"/>
    </row>
    <row r="462">
      <c r="A462" s="64"/>
      <c r="F462" s="63"/>
      <c r="G462" s="63"/>
      <c r="H462" s="63"/>
    </row>
    <row r="463">
      <c r="A463" s="64"/>
      <c r="F463" s="63"/>
      <c r="G463" s="63"/>
      <c r="H463" s="63"/>
    </row>
    <row r="464">
      <c r="A464" s="64"/>
      <c r="F464" s="63"/>
      <c r="G464" s="63"/>
      <c r="H464" s="63"/>
    </row>
    <row r="465">
      <c r="A465" s="64"/>
      <c r="F465" s="63"/>
      <c r="G465" s="63"/>
      <c r="H465" s="63"/>
    </row>
    <row r="466">
      <c r="A466" s="64"/>
      <c r="F466" s="63"/>
      <c r="G466" s="63"/>
      <c r="H466" s="63"/>
    </row>
    <row r="467">
      <c r="A467" s="64"/>
      <c r="F467" s="63"/>
      <c r="G467" s="63"/>
      <c r="H467" s="63"/>
    </row>
    <row r="468">
      <c r="A468" s="64"/>
      <c r="F468" s="63"/>
      <c r="G468" s="63"/>
      <c r="H468" s="63"/>
    </row>
    <row r="469">
      <c r="A469" s="64"/>
      <c r="F469" s="63"/>
      <c r="G469" s="63"/>
      <c r="H469" s="63"/>
    </row>
    <row r="470">
      <c r="A470" s="64"/>
      <c r="F470" s="63"/>
      <c r="G470" s="63"/>
      <c r="H470" s="63"/>
    </row>
    <row r="471">
      <c r="A471" s="64"/>
      <c r="F471" s="63"/>
      <c r="G471" s="63"/>
      <c r="H471" s="63"/>
    </row>
    <row r="472">
      <c r="A472" s="64"/>
      <c r="F472" s="63"/>
      <c r="G472" s="63"/>
      <c r="H472" s="63"/>
    </row>
    <row r="473">
      <c r="A473" s="64"/>
      <c r="F473" s="63"/>
      <c r="G473" s="63"/>
      <c r="H473" s="63"/>
    </row>
    <row r="474">
      <c r="A474" s="64"/>
      <c r="F474" s="63"/>
      <c r="G474" s="63"/>
      <c r="H474" s="63"/>
    </row>
    <row r="475">
      <c r="A475" s="64"/>
      <c r="F475" s="63"/>
      <c r="G475" s="63"/>
      <c r="H475" s="63"/>
    </row>
    <row r="476">
      <c r="A476" s="64"/>
      <c r="F476" s="63"/>
      <c r="G476" s="63"/>
      <c r="H476" s="63"/>
    </row>
    <row r="477">
      <c r="A477" s="64"/>
      <c r="F477" s="63"/>
      <c r="G477" s="63"/>
      <c r="H477" s="63"/>
    </row>
    <row r="478">
      <c r="A478" s="64"/>
      <c r="F478" s="63"/>
      <c r="G478" s="63"/>
      <c r="H478" s="63"/>
    </row>
    <row r="479">
      <c r="A479" s="64"/>
      <c r="F479" s="63"/>
      <c r="G479" s="63"/>
      <c r="H479" s="63"/>
    </row>
    <row r="480">
      <c r="A480" s="64"/>
      <c r="F480" s="63"/>
      <c r="G480" s="63"/>
      <c r="H480" s="63"/>
    </row>
    <row r="481">
      <c r="A481" s="64"/>
      <c r="F481" s="63"/>
      <c r="G481" s="63"/>
      <c r="H481" s="63"/>
    </row>
    <row r="482">
      <c r="A482" s="64"/>
      <c r="F482" s="63"/>
      <c r="G482" s="63"/>
      <c r="H482" s="63"/>
    </row>
    <row r="483">
      <c r="A483" s="64"/>
      <c r="F483" s="63"/>
      <c r="G483" s="63"/>
      <c r="H483" s="63"/>
    </row>
    <row r="484">
      <c r="A484" s="64"/>
      <c r="F484" s="63"/>
      <c r="G484" s="63"/>
      <c r="H484" s="63"/>
    </row>
    <row r="485">
      <c r="A485" s="64"/>
      <c r="F485" s="63"/>
      <c r="G485" s="63"/>
      <c r="H485" s="63"/>
    </row>
    <row r="486">
      <c r="A486" s="64"/>
      <c r="F486" s="63"/>
      <c r="G486" s="63"/>
      <c r="H486" s="63"/>
    </row>
    <row r="487">
      <c r="A487" s="64"/>
      <c r="F487" s="63"/>
      <c r="G487" s="63"/>
      <c r="H487" s="63"/>
    </row>
    <row r="488">
      <c r="A488" s="64"/>
      <c r="F488" s="63"/>
      <c r="G488" s="63"/>
      <c r="H488" s="63"/>
    </row>
    <row r="489">
      <c r="A489" s="64"/>
      <c r="F489" s="63"/>
      <c r="G489" s="63"/>
      <c r="H489" s="63"/>
    </row>
    <row r="490">
      <c r="A490" s="64"/>
      <c r="F490" s="63"/>
      <c r="G490" s="63"/>
      <c r="H490" s="63"/>
    </row>
    <row r="491">
      <c r="A491" s="64"/>
      <c r="F491" s="63"/>
      <c r="G491" s="63"/>
      <c r="H491" s="63"/>
    </row>
    <row r="492">
      <c r="A492" s="64"/>
      <c r="F492" s="63"/>
      <c r="G492" s="63"/>
      <c r="H492" s="63"/>
    </row>
    <row r="493">
      <c r="A493" s="64"/>
      <c r="F493" s="63"/>
      <c r="G493" s="63"/>
      <c r="H493" s="63"/>
    </row>
    <row r="494">
      <c r="A494" s="64"/>
      <c r="F494" s="63"/>
      <c r="G494" s="63"/>
      <c r="H494" s="63"/>
    </row>
    <row r="495">
      <c r="A495" s="64"/>
      <c r="F495" s="63"/>
      <c r="G495" s="63"/>
      <c r="H495" s="63"/>
    </row>
    <row r="496">
      <c r="A496" s="64"/>
      <c r="F496" s="63"/>
      <c r="G496" s="63"/>
      <c r="H496" s="63"/>
    </row>
    <row r="497">
      <c r="A497" s="64"/>
      <c r="F497" s="63"/>
      <c r="G497" s="63"/>
      <c r="H497" s="63"/>
    </row>
    <row r="498">
      <c r="A498" s="64"/>
      <c r="F498" s="63"/>
      <c r="G498" s="63"/>
      <c r="H498" s="63"/>
    </row>
    <row r="499">
      <c r="A499" s="64"/>
      <c r="F499" s="63"/>
      <c r="G499" s="63"/>
      <c r="H499" s="63"/>
    </row>
    <row r="500">
      <c r="A500" s="64"/>
      <c r="F500" s="63"/>
      <c r="G500" s="63"/>
      <c r="H500" s="63"/>
    </row>
    <row r="501">
      <c r="A501" s="64"/>
      <c r="F501" s="63"/>
      <c r="G501" s="63"/>
      <c r="H501" s="63"/>
    </row>
    <row r="502">
      <c r="A502" s="64"/>
      <c r="F502" s="63"/>
      <c r="G502" s="63"/>
      <c r="H502" s="63"/>
    </row>
    <row r="503">
      <c r="A503" s="64"/>
      <c r="F503" s="63"/>
      <c r="G503" s="63"/>
      <c r="H503" s="63"/>
    </row>
    <row r="504">
      <c r="A504" s="64"/>
      <c r="F504" s="63"/>
      <c r="G504" s="63"/>
      <c r="H504" s="63"/>
    </row>
    <row r="505">
      <c r="A505" s="64"/>
      <c r="F505" s="63"/>
      <c r="G505" s="63"/>
      <c r="H505" s="63"/>
    </row>
    <row r="506">
      <c r="A506" s="64"/>
      <c r="F506" s="63"/>
      <c r="G506" s="63"/>
      <c r="H506" s="63"/>
    </row>
    <row r="507">
      <c r="A507" s="64"/>
      <c r="F507" s="63"/>
      <c r="G507" s="63"/>
      <c r="H507" s="63"/>
    </row>
    <row r="508">
      <c r="A508" s="64"/>
      <c r="F508" s="63"/>
      <c r="G508" s="63"/>
      <c r="H508" s="63"/>
    </row>
    <row r="509">
      <c r="A509" s="64"/>
      <c r="F509" s="63"/>
      <c r="G509" s="63"/>
      <c r="H509" s="63"/>
    </row>
    <row r="510">
      <c r="A510" s="64"/>
      <c r="F510" s="63"/>
      <c r="G510" s="63"/>
      <c r="H510" s="63"/>
    </row>
    <row r="511">
      <c r="A511" s="64"/>
      <c r="F511" s="63"/>
      <c r="G511" s="63"/>
      <c r="H511" s="63"/>
    </row>
    <row r="512">
      <c r="A512" s="64"/>
      <c r="F512" s="63"/>
      <c r="G512" s="63"/>
      <c r="H512" s="63"/>
    </row>
    <row r="513">
      <c r="A513" s="64"/>
      <c r="F513" s="63"/>
      <c r="G513" s="63"/>
      <c r="H513" s="63"/>
    </row>
    <row r="514">
      <c r="A514" s="64"/>
      <c r="F514" s="63"/>
      <c r="G514" s="63"/>
      <c r="H514" s="63"/>
    </row>
    <row r="515">
      <c r="A515" s="64"/>
      <c r="F515" s="63"/>
      <c r="G515" s="63"/>
      <c r="H515" s="63"/>
    </row>
    <row r="516">
      <c r="A516" s="64"/>
      <c r="F516" s="63"/>
      <c r="G516" s="63"/>
      <c r="H516" s="63"/>
    </row>
    <row r="517">
      <c r="A517" s="64"/>
      <c r="F517" s="63"/>
      <c r="G517" s="63"/>
      <c r="H517" s="63"/>
    </row>
    <row r="518">
      <c r="A518" s="64"/>
      <c r="F518" s="63"/>
      <c r="G518" s="63"/>
      <c r="H518" s="63"/>
    </row>
    <row r="519">
      <c r="A519" s="64"/>
      <c r="F519" s="63"/>
      <c r="G519" s="63"/>
      <c r="H519" s="63"/>
    </row>
    <row r="520">
      <c r="A520" s="64"/>
      <c r="F520" s="63"/>
      <c r="G520" s="63"/>
      <c r="H520" s="63"/>
    </row>
    <row r="521">
      <c r="A521" s="64"/>
      <c r="F521" s="63"/>
      <c r="G521" s="63"/>
      <c r="H521" s="63"/>
    </row>
    <row r="522">
      <c r="A522" s="64"/>
      <c r="F522" s="63"/>
      <c r="G522" s="63"/>
      <c r="H522" s="63"/>
    </row>
    <row r="523">
      <c r="A523" s="64"/>
      <c r="F523" s="63"/>
      <c r="G523" s="63"/>
      <c r="H523" s="63"/>
    </row>
    <row r="524">
      <c r="A524" s="64"/>
      <c r="F524" s="63"/>
      <c r="G524" s="63"/>
      <c r="H524" s="63"/>
    </row>
    <row r="525">
      <c r="A525" s="64"/>
      <c r="F525" s="63"/>
      <c r="G525" s="63"/>
      <c r="H525" s="63"/>
    </row>
    <row r="526">
      <c r="A526" s="64"/>
      <c r="F526" s="63"/>
      <c r="G526" s="63"/>
      <c r="H526" s="63"/>
    </row>
    <row r="527">
      <c r="A527" s="64"/>
      <c r="F527" s="63"/>
      <c r="G527" s="63"/>
      <c r="H527" s="63"/>
    </row>
    <row r="528">
      <c r="A528" s="64"/>
      <c r="F528" s="63"/>
      <c r="G528" s="63"/>
      <c r="H528" s="63"/>
    </row>
    <row r="529">
      <c r="A529" s="64"/>
      <c r="F529" s="63"/>
      <c r="G529" s="63"/>
      <c r="H529" s="63"/>
    </row>
    <row r="530">
      <c r="A530" s="64"/>
      <c r="F530" s="63"/>
      <c r="G530" s="63"/>
      <c r="H530" s="63"/>
    </row>
    <row r="531">
      <c r="A531" s="64"/>
      <c r="F531" s="63"/>
      <c r="G531" s="63"/>
      <c r="H531" s="63"/>
    </row>
    <row r="532">
      <c r="A532" s="64"/>
      <c r="F532" s="63"/>
      <c r="G532" s="63"/>
      <c r="H532" s="63"/>
    </row>
    <row r="533">
      <c r="A533" s="64"/>
      <c r="F533" s="63"/>
      <c r="G533" s="63"/>
      <c r="H533" s="63"/>
    </row>
    <row r="534">
      <c r="A534" s="64"/>
      <c r="F534" s="63"/>
      <c r="G534" s="63"/>
      <c r="H534" s="63"/>
    </row>
    <row r="535">
      <c r="A535" s="64"/>
      <c r="F535" s="63"/>
      <c r="G535" s="63"/>
      <c r="H535" s="63"/>
    </row>
    <row r="536">
      <c r="A536" s="64"/>
      <c r="F536" s="63"/>
      <c r="G536" s="63"/>
      <c r="H536" s="63"/>
    </row>
    <row r="537">
      <c r="A537" s="64"/>
      <c r="F537" s="63"/>
      <c r="G537" s="63"/>
      <c r="H537" s="63"/>
    </row>
    <row r="538">
      <c r="A538" s="64"/>
      <c r="F538" s="63"/>
      <c r="G538" s="63"/>
      <c r="H538" s="63"/>
    </row>
    <row r="539">
      <c r="A539" s="64"/>
      <c r="F539" s="63"/>
      <c r="G539" s="63"/>
      <c r="H539" s="63"/>
    </row>
    <row r="540">
      <c r="A540" s="64"/>
      <c r="F540" s="63"/>
      <c r="G540" s="63"/>
      <c r="H540" s="63"/>
    </row>
    <row r="541">
      <c r="A541" s="64"/>
      <c r="F541" s="63"/>
      <c r="G541" s="63"/>
      <c r="H541" s="63"/>
    </row>
    <row r="542">
      <c r="A542" s="64"/>
      <c r="F542" s="63"/>
      <c r="G542" s="63"/>
      <c r="H542" s="63"/>
    </row>
    <row r="543">
      <c r="A543" s="64"/>
      <c r="F543" s="63"/>
      <c r="G543" s="63"/>
      <c r="H543" s="63"/>
    </row>
    <row r="544">
      <c r="A544" s="64"/>
      <c r="F544" s="63"/>
      <c r="G544" s="63"/>
      <c r="H544" s="63"/>
    </row>
    <row r="545">
      <c r="A545" s="64"/>
      <c r="F545" s="63"/>
      <c r="G545" s="63"/>
      <c r="H545" s="63"/>
    </row>
    <row r="546">
      <c r="A546" s="64"/>
      <c r="F546" s="63"/>
      <c r="G546" s="63"/>
      <c r="H546" s="63"/>
    </row>
    <row r="547">
      <c r="A547" s="64"/>
      <c r="F547" s="63"/>
      <c r="G547" s="63"/>
      <c r="H547" s="63"/>
    </row>
    <row r="548">
      <c r="A548" s="64"/>
      <c r="F548" s="63"/>
      <c r="G548" s="63"/>
      <c r="H548" s="63"/>
    </row>
    <row r="549">
      <c r="A549" s="64"/>
      <c r="F549" s="63"/>
      <c r="G549" s="63"/>
      <c r="H549" s="63"/>
    </row>
    <row r="550">
      <c r="A550" s="64"/>
      <c r="F550" s="63"/>
      <c r="G550" s="63"/>
      <c r="H550" s="63"/>
    </row>
    <row r="551">
      <c r="A551" s="64"/>
      <c r="F551" s="63"/>
      <c r="G551" s="63"/>
      <c r="H551" s="63"/>
    </row>
    <row r="552">
      <c r="A552" s="64"/>
      <c r="F552" s="63"/>
      <c r="G552" s="63"/>
      <c r="H552" s="63"/>
    </row>
    <row r="553">
      <c r="A553" s="64"/>
      <c r="F553" s="63"/>
      <c r="G553" s="63"/>
      <c r="H553" s="63"/>
    </row>
    <row r="554">
      <c r="A554" s="64"/>
      <c r="F554" s="63"/>
      <c r="G554" s="63"/>
      <c r="H554" s="63"/>
    </row>
    <row r="555">
      <c r="A555" s="64"/>
      <c r="F555" s="63"/>
      <c r="G555" s="63"/>
      <c r="H555" s="63"/>
    </row>
    <row r="556">
      <c r="A556" s="64"/>
      <c r="F556" s="63"/>
      <c r="G556" s="63"/>
      <c r="H556" s="63"/>
    </row>
    <row r="557">
      <c r="A557" s="64"/>
      <c r="F557" s="63"/>
      <c r="G557" s="63"/>
      <c r="H557" s="63"/>
    </row>
    <row r="558">
      <c r="A558" s="64"/>
      <c r="F558" s="63"/>
      <c r="G558" s="63"/>
      <c r="H558" s="63"/>
    </row>
    <row r="559">
      <c r="A559" s="64"/>
      <c r="F559" s="63"/>
      <c r="G559" s="63"/>
      <c r="H559" s="63"/>
    </row>
    <row r="560">
      <c r="A560" s="64"/>
      <c r="F560" s="63"/>
      <c r="G560" s="63"/>
      <c r="H560" s="63"/>
    </row>
    <row r="561">
      <c r="A561" s="64"/>
      <c r="F561" s="63"/>
      <c r="G561" s="63"/>
      <c r="H561" s="63"/>
    </row>
    <row r="562">
      <c r="A562" s="64"/>
      <c r="F562" s="63"/>
      <c r="G562" s="63"/>
      <c r="H562" s="63"/>
    </row>
    <row r="563">
      <c r="A563" s="64"/>
      <c r="F563" s="63"/>
      <c r="G563" s="63"/>
      <c r="H563" s="63"/>
    </row>
    <row r="564">
      <c r="A564" s="64"/>
      <c r="F564" s="63"/>
      <c r="G564" s="63"/>
      <c r="H564" s="63"/>
    </row>
    <row r="565">
      <c r="A565" s="64"/>
      <c r="F565" s="63"/>
      <c r="G565" s="63"/>
      <c r="H565" s="63"/>
    </row>
    <row r="566">
      <c r="A566" s="64"/>
      <c r="F566" s="63"/>
      <c r="G566" s="63"/>
      <c r="H566" s="63"/>
    </row>
    <row r="567">
      <c r="A567" s="64"/>
      <c r="F567" s="63"/>
      <c r="G567" s="63"/>
      <c r="H567" s="63"/>
    </row>
    <row r="568">
      <c r="A568" s="64"/>
      <c r="F568" s="63"/>
      <c r="G568" s="63"/>
      <c r="H568" s="63"/>
    </row>
    <row r="569">
      <c r="A569" s="64"/>
      <c r="F569" s="63"/>
      <c r="G569" s="63"/>
      <c r="H569" s="63"/>
    </row>
    <row r="570">
      <c r="A570" s="64"/>
      <c r="F570" s="63"/>
      <c r="G570" s="63"/>
      <c r="H570" s="63"/>
    </row>
    <row r="571">
      <c r="A571" s="64"/>
      <c r="F571" s="63"/>
      <c r="G571" s="63"/>
      <c r="H571" s="63"/>
    </row>
    <row r="572">
      <c r="A572" s="64"/>
      <c r="F572" s="63"/>
      <c r="G572" s="63"/>
      <c r="H572" s="63"/>
    </row>
    <row r="573">
      <c r="A573" s="64"/>
      <c r="F573" s="63"/>
      <c r="G573" s="63"/>
      <c r="H573" s="63"/>
    </row>
    <row r="574">
      <c r="A574" s="64"/>
      <c r="F574" s="63"/>
      <c r="G574" s="63"/>
      <c r="H574" s="63"/>
    </row>
    <row r="575">
      <c r="A575" s="64"/>
      <c r="F575" s="63"/>
      <c r="G575" s="63"/>
      <c r="H575" s="63"/>
    </row>
    <row r="576">
      <c r="A576" s="64"/>
      <c r="F576" s="63"/>
      <c r="G576" s="63"/>
      <c r="H576" s="63"/>
    </row>
    <row r="577">
      <c r="A577" s="64"/>
      <c r="F577" s="63"/>
      <c r="G577" s="63"/>
      <c r="H577" s="63"/>
    </row>
    <row r="578">
      <c r="A578" s="64"/>
      <c r="F578" s="63"/>
      <c r="G578" s="63"/>
      <c r="H578" s="63"/>
    </row>
    <row r="579">
      <c r="A579" s="64"/>
      <c r="F579" s="63"/>
      <c r="G579" s="63"/>
      <c r="H579" s="63"/>
    </row>
    <row r="580">
      <c r="A580" s="64"/>
      <c r="F580" s="63"/>
      <c r="G580" s="63"/>
      <c r="H580" s="63"/>
    </row>
    <row r="581">
      <c r="A581" s="64"/>
      <c r="F581" s="63"/>
      <c r="G581" s="63"/>
      <c r="H581" s="63"/>
    </row>
    <row r="582">
      <c r="A582" s="64"/>
      <c r="F582" s="63"/>
      <c r="G582" s="63"/>
      <c r="H582" s="63"/>
    </row>
    <row r="583">
      <c r="A583" s="64"/>
      <c r="F583" s="63"/>
      <c r="G583" s="63"/>
      <c r="H583" s="63"/>
    </row>
    <row r="584">
      <c r="A584" s="64"/>
      <c r="F584" s="63"/>
      <c r="G584" s="63"/>
      <c r="H584" s="63"/>
    </row>
    <row r="585">
      <c r="A585" s="64"/>
      <c r="F585" s="63"/>
      <c r="G585" s="63"/>
      <c r="H585" s="63"/>
    </row>
    <row r="586">
      <c r="A586" s="64"/>
      <c r="F586" s="63"/>
      <c r="G586" s="63"/>
      <c r="H586" s="63"/>
    </row>
    <row r="587">
      <c r="A587" s="64"/>
      <c r="F587" s="63"/>
      <c r="G587" s="63"/>
      <c r="H587" s="63"/>
    </row>
    <row r="588">
      <c r="A588" s="64"/>
      <c r="F588" s="63"/>
      <c r="G588" s="63"/>
      <c r="H588" s="63"/>
    </row>
    <row r="589">
      <c r="A589" s="64"/>
      <c r="F589" s="63"/>
      <c r="G589" s="63"/>
      <c r="H589" s="63"/>
    </row>
    <row r="590">
      <c r="A590" s="64"/>
      <c r="F590" s="63"/>
      <c r="G590" s="63"/>
      <c r="H590" s="63"/>
    </row>
    <row r="591">
      <c r="A591" s="64"/>
      <c r="F591" s="63"/>
      <c r="G591" s="63"/>
      <c r="H591" s="63"/>
    </row>
    <row r="592">
      <c r="A592" s="64"/>
      <c r="F592" s="63"/>
      <c r="G592" s="63"/>
      <c r="H592" s="63"/>
    </row>
    <row r="593">
      <c r="A593" s="64"/>
      <c r="F593" s="63"/>
      <c r="G593" s="63"/>
      <c r="H593" s="63"/>
    </row>
    <row r="594">
      <c r="A594" s="64"/>
      <c r="F594" s="63"/>
      <c r="G594" s="63"/>
      <c r="H594" s="63"/>
    </row>
    <row r="595">
      <c r="A595" s="64"/>
      <c r="F595" s="63"/>
      <c r="G595" s="63"/>
      <c r="H595" s="63"/>
    </row>
    <row r="596">
      <c r="A596" s="64"/>
      <c r="F596" s="63"/>
      <c r="G596" s="63"/>
      <c r="H596" s="63"/>
    </row>
    <row r="597">
      <c r="A597" s="64"/>
      <c r="F597" s="63"/>
      <c r="G597" s="63"/>
      <c r="H597" s="63"/>
    </row>
    <row r="598">
      <c r="A598" s="64"/>
      <c r="F598" s="63"/>
      <c r="G598" s="63"/>
      <c r="H598" s="63"/>
    </row>
    <row r="599">
      <c r="A599" s="64"/>
      <c r="F599" s="63"/>
      <c r="G599" s="63"/>
      <c r="H599" s="63"/>
    </row>
    <row r="600">
      <c r="A600" s="64"/>
      <c r="F600" s="63"/>
      <c r="G600" s="63"/>
      <c r="H600" s="63"/>
    </row>
    <row r="601">
      <c r="A601" s="64"/>
      <c r="F601" s="63"/>
      <c r="G601" s="63"/>
      <c r="H601" s="63"/>
    </row>
    <row r="602">
      <c r="A602" s="64"/>
      <c r="F602" s="63"/>
      <c r="G602" s="63"/>
      <c r="H602" s="63"/>
    </row>
    <row r="603">
      <c r="A603" s="64"/>
      <c r="F603" s="63"/>
      <c r="G603" s="63"/>
      <c r="H603" s="63"/>
    </row>
    <row r="604">
      <c r="A604" s="64"/>
      <c r="F604" s="63"/>
      <c r="G604" s="63"/>
      <c r="H604" s="63"/>
    </row>
    <row r="605">
      <c r="A605" s="64"/>
      <c r="F605" s="63"/>
      <c r="G605" s="63"/>
      <c r="H605" s="63"/>
    </row>
    <row r="606">
      <c r="A606" s="64"/>
      <c r="F606" s="63"/>
      <c r="G606" s="63"/>
      <c r="H606" s="63"/>
    </row>
    <row r="607">
      <c r="A607" s="64"/>
      <c r="F607" s="63"/>
      <c r="G607" s="63"/>
      <c r="H607" s="63"/>
    </row>
    <row r="608">
      <c r="A608" s="64"/>
      <c r="F608" s="63"/>
      <c r="G608" s="63"/>
      <c r="H608" s="63"/>
    </row>
    <row r="609">
      <c r="A609" s="64"/>
      <c r="F609" s="63"/>
      <c r="G609" s="63"/>
      <c r="H609" s="63"/>
    </row>
    <row r="610">
      <c r="A610" s="64"/>
      <c r="F610" s="63"/>
      <c r="G610" s="63"/>
      <c r="H610" s="63"/>
    </row>
    <row r="611">
      <c r="A611" s="64"/>
      <c r="F611" s="63"/>
      <c r="G611" s="63"/>
      <c r="H611" s="63"/>
    </row>
    <row r="612">
      <c r="A612" s="64"/>
      <c r="F612" s="63"/>
      <c r="G612" s="63"/>
      <c r="H612" s="63"/>
    </row>
    <row r="613">
      <c r="A613" s="64"/>
      <c r="F613" s="63"/>
      <c r="G613" s="63"/>
      <c r="H613" s="63"/>
    </row>
    <row r="614">
      <c r="A614" s="64"/>
      <c r="F614" s="63"/>
      <c r="G614" s="63"/>
      <c r="H614" s="63"/>
    </row>
    <row r="615">
      <c r="A615" s="64"/>
      <c r="F615" s="63"/>
      <c r="G615" s="63"/>
      <c r="H615" s="63"/>
    </row>
    <row r="616">
      <c r="A616" s="64"/>
      <c r="F616" s="63"/>
      <c r="G616" s="63"/>
      <c r="H616" s="63"/>
    </row>
    <row r="617">
      <c r="A617" s="64"/>
      <c r="F617" s="63"/>
      <c r="G617" s="63"/>
      <c r="H617" s="63"/>
    </row>
    <row r="618">
      <c r="A618" s="64"/>
      <c r="F618" s="63"/>
      <c r="G618" s="63"/>
      <c r="H618" s="63"/>
    </row>
    <row r="619">
      <c r="A619" s="64"/>
      <c r="F619" s="63"/>
      <c r="G619" s="63"/>
      <c r="H619" s="63"/>
    </row>
    <row r="620">
      <c r="A620" s="64"/>
      <c r="F620" s="63"/>
      <c r="G620" s="63"/>
      <c r="H620" s="63"/>
    </row>
    <row r="621">
      <c r="A621" s="64"/>
      <c r="F621" s="63"/>
      <c r="G621" s="63"/>
      <c r="H621" s="63"/>
    </row>
    <row r="622">
      <c r="A622" s="64"/>
      <c r="F622" s="63"/>
      <c r="G622" s="63"/>
      <c r="H622" s="63"/>
    </row>
    <row r="623">
      <c r="A623" s="64"/>
      <c r="F623" s="63"/>
      <c r="G623" s="63"/>
      <c r="H623" s="63"/>
    </row>
    <row r="624">
      <c r="A624" s="64"/>
      <c r="F624" s="63"/>
      <c r="G624" s="63"/>
      <c r="H624" s="63"/>
    </row>
    <row r="625">
      <c r="A625" s="64"/>
      <c r="F625" s="63"/>
      <c r="G625" s="63"/>
      <c r="H625" s="63"/>
    </row>
    <row r="626">
      <c r="A626" s="64"/>
      <c r="F626" s="63"/>
      <c r="G626" s="63"/>
      <c r="H626" s="63"/>
    </row>
    <row r="627">
      <c r="A627" s="64"/>
      <c r="F627" s="63"/>
      <c r="G627" s="63"/>
      <c r="H627" s="63"/>
    </row>
    <row r="628">
      <c r="A628" s="64"/>
      <c r="F628" s="63"/>
      <c r="G628" s="63"/>
      <c r="H628" s="63"/>
    </row>
    <row r="629">
      <c r="A629" s="64"/>
      <c r="F629" s="63"/>
      <c r="G629" s="63"/>
      <c r="H629" s="63"/>
    </row>
    <row r="630">
      <c r="A630" s="64"/>
      <c r="F630" s="63"/>
      <c r="G630" s="63"/>
      <c r="H630" s="63"/>
    </row>
    <row r="631">
      <c r="A631" s="64"/>
      <c r="F631" s="63"/>
      <c r="G631" s="63"/>
      <c r="H631" s="63"/>
    </row>
    <row r="632">
      <c r="A632" s="64"/>
      <c r="F632" s="63"/>
      <c r="G632" s="63"/>
      <c r="H632" s="63"/>
    </row>
    <row r="633">
      <c r="A633" s="64"/>
      <c r="F633" s="63"/>
      <c r="G633" s="63"/>
      <c r="H633" s="63"/>
    </row>
    <row r="634">
      <c r="A634" s="64"/>
      <c r="F634" s="63"/>
      <c r="G634" s="63"/>
      <c r="H634" s="63"/>
    </row>
    <row r="635">
      <c r="A635" s="64"/>
      <c r="F635" s="63"/>
      <c r="G635" s="63"/>
      <c r="H635" s="63"/>
    </row>
    <row r="636">
      <c r="A636" s="64"/>
      <c r="F636" s="63"/>
      <c r="G636" s="63"/>
      <c r="H636" s="63"/>
    </row>
    <row r="637">
      <c r="A637" s="64"/>
      <c r="F637" s="63"/>
      <c r="G637" s="63"/>
      <c r="H637" s="63"/>
    </row>
    <row r="638">
      <c r="A638" s="64"/>
      <c r="F638" s="63"/>
      <c r="G638" s="63"/>
      <c r="H638" s="63"/>
    </row>
    <row r="639">
      <c r="A639" s="64"/>
      <c r="F639" s="63"/>
      <c r="G639" s="63"/>
      <c r="H639" s="63"/>
    </row>
    <row r="640">
      <c r="A640" s="64"/>
      <c r="F640" s="63"/>
      <c r="G640" s="63"/>
      <c r="H640" s="63"/>
    </row>
    <row r="641">
      <c r="A641" s="64"/>
      <c r="F641" s="63"/>
      <c r="G641" s="63"/>
      <c r="H641" s="63"/>
    </row>
    <row r="642">
      <c r="A642" s="64"/>
      <c r="F642" s="63"/>
      <c r="G642" s="63"/>
      <c r="H642" s="63"/>
    </row>
    <row r="643">
      <c r="A643" s="64"/>
      <c r="F643" s="63"/>
      <c r="G643" s="63"/>
      <c r="H643" s="63"/>
    </row>
    <row r="644">
      <c r="A644" s="64"/>
      <c r="F644" s="63"/>
      <c r="G644" s="63"/>
      <c r="H644" s="63"/>
    </row>
    <row r="645">
      <c r="A645" s="64"/>
      <c r="F645" s="63"/>
      <c r="G645" s="63"/>
      <c r="H645" s="63"/>
    </row>
    <row r="646">
      <c r="A646" s="64"/>
      <c r="F646" s="63"/>
      <c r="G646" s="63"/>
      <c r="H646" s="63"/>
    </row>
    <row r="647">
      <c r="A647" s="64"/>
      <c r="F647" s="63"/>
      <c r="G647" s="63"/>
      <c r="H647" s="63"/>
    </row>
    <row r="648">
      <c r="A648" s="64"/>
      <c r="F648" s="63"/>
      <c r="G648" s="63"/>
      <c r="H648" s="63"/>
    </row>
    <row r="649">
      <c r="A649" s="64"/>
      <c r="F649" s="63"/>
      <c r="G649" s="63"/>
      <c r="H649" s="63"/>
    </row>
    <row r="650">
      <c r="A650" s="64"/>
      <c r="F650" s="63"/>
      <c r="G650" s="63"/>
      <c r="H650" s="63"/>
    </row>
    <row r="651">
      <c r="A651" s="64"/>
      <c r="F651" s="63"/>
      <c r="G651" s="63"/>
      <c r="H651" s="63"/>
    </row>
    <row r="652">
      <c r="A652" s="64"/>
      <c r="F652" s="63"/>
      <c r="G652" s="63"/>
      <c r="H652" s="63"/>
    </row>
    <row r="653">
      <c r="A653" s="64"/>
      <c r="F653" s="63"/>
      <c r="G653" s="63"/>
      <c r="H653" s="63"/>
    </row>
    <row r="654">
      <c r="A654" s="64"/>
      <c r="F654" s="63"/>
      <c r="G654" s="63"/>
      <c r="H654" s="63"/>
    </row>
    <row r="655">
      <c r="A655" s="64"/>
      <c r="F655" s="63"/>
      <c r="G655" s="63"/>
      <c r="H655" s="63"/>
    </row>
    <row r="656">
      <c r="A656" s="64"/>
      <c r="F656" s="63"/>
      <c r="G656" s="63"/>
      <c r="H656" s="63"/>
    </row>
    <row r="657">
      <c r="A657" s="64"/>
      <c r="F657" s="63"/>
      <c r="G657" s="63"/>
      <c r="H657" s="63"/>
    </row>
    <row r="658">
      <c r="A658" s="64"/>
      <c r="F658" s="63"/>
      <c r="G658" s="63"/>
      <c r="H658" s="63"/>
    </row>
    <row r="659">
      <c r="A659" s="64"/>
      <c r="F659" s="63"/>
      <c r="G659" s="63"/>
      <c r="H659" s="63"/>
    </row>
    <row r="660">
      <c r="A660" s="64"/>
      <c r="F660" s="63"/>
      <c r="G660" s="63"/>
      <c r="H660" s="63"/>
    </row>
    <row r="661">
      <c r="A661" s="64"/>
      <c r="F661" s="63"/>
      <c r="G661" s="63"/>
      <c r="H661" s="63"/>
    </row>
    <row r="662">
      <c r="A662" s="64"/>
      <c r="F662" s="63"/>
      <c r="G662" s="63"/>
      <c r="H662" s="63"/>
    </row>
    <row r="663">
      <c r="A663" s="64"/>
      <c r="F663" s="63"/>
      <c r="G663" s="63"/>
      <c r="H663" s="63"/>
    </row>
    <row r="664">
      <c r="A664" s="64"/>
      <c r="F664" s="63"/>
      <c r="G664" s="63"/>
      <c r="H664" s="63"/>
    </row>
    <row r="665">
      <c r="A665" s="64"/>
      <c r="F665" s="63"/>
      <c r="G665" s="63"/>
      <c r="H665" s="63"/>
    </row>
    <row r="666">
      <c r="A666" s="64"/>
      <c r="F666" s="63"/>
      <c r="G666" s="63"/>
      <c r="H666" s="63"/>
    </row>
    <row r="667">
      <c r="A667" s="64"/>
      <c r="F667" s="63"/>
      <c r="G667" s="63"/>
      <c r="H667" s="63"/>
    </row>
    <row r="668">
      <c r="A668" s="64"/>
      <c r="F668" s="63"/>
      <c r="G668" s="63"/>
      <c r="H668" s="63"/>
    </row>
    <row r="669">
      <c r="A669" s="64"/>
      <c r="F669" s="63"/>
      <c r="G669" s="63"/>
      <c r="H669" s="63"/>
    </row>
    <row r="670">
      <c r="A670" s="64"/>
      <c r="F670" s="63"/>
      <c r="G670" s="63"/>
      <c r="H670" s="63"/>
    </row>
    <row r="671">
      <c r="A671" s="64"/>
      <c r="F671" s="63"/>
      <c r="G671" s="63"/>
      <c r="H671" s="63"/>
    </row>
    <row r="672">
      <c r="A672" s="64"/>
      <c r="F672" s="63"/>
      <c r="G672" s="63"/>
      <c r="H672" s="63"/>
    </row>
    <row r="673">
      <c r="A673" s="64"/>
      <c r="F673" s="63"/>
      <c r="G673" s="63"/>
      <c r="H673" s="63"/>
    </row>
    <row r="674">
      <c r="A674" s="64"/>
      <c r="F674" s="63"/>
      <c r="G674" s="63"/>
      <c r="H674" s="63"/>
    </row>
    <row r="675">
      <c r="A675" s="64"/>
      <c r="F675" s="63"/>
      <c r="G675" s="63"/>
      <c r="H675" s="63"/>
    </row>
    <row r="676">
      <c r="A676" s="64"/>
      <c r="F676" s="63"/>
      <c r="G676" s="63"/>
      <c r="H676" s="63"/>
    </row>
    <row r="677">
      <c r="A677" s="64"/>
      <c r="F677" s="63"/>
      <c r="G677" s="63"/>
      <c r="H677" s="63"/>
    </row>
    <row r="678">
      <c r="A678" s="64"/>
      <c r="F678" s="63"/>
      <c r="G678" s="63"/>
      <c r="H678" s="63"/>
    </row>
    <row r="679">
      <c r="A679" s="64"/>
      <c r="F679" s="63"/>
      <c r="G679" s="63"/>
      <c r="H679" s="63"/>
    </row>
    <row r="680">
      <c r="A680" s="64"/>
      <c r="F680" s="63"/>
      <c r="G680" s="63"/>
      <c r="H680" s="63"/>
    </row>
    <row r="681">
      <c r="A681" s="64"/>
      <c r="F681" s="63"/>
      <c r="G681" s="63"/>
      <c r="H681" s="63"/>
    </row>
    <row r="682">
      <c r="A682" s="64"/>
      <c r="F682" s="63"/>
      <c r="G682" s="63"/>
      <c r="H682" s="63"/>
    </row>
    <row r="683">
      <c r="A683" s="64"/>
      <c r="F683" s="63"/>
      <c r="G683" s="63"/>
      <c r="H683" s="63"/>
    </row>
    <row r="684">
      <c r="A684" s="64"/>
      <c r="F684" s="63"/>
      <c r="G684" s="63"/>
      <c r="H684" s="63"/>
    </row>
    <row r="685">
      <c r="A685" s="64"/>
      <c r="F685" s="63"/>
      <c r="G685" s="63"/>
      <c r="H685" s="63"/>
    </row>
    <row r="686">
      <c r="A686" s="64"/>
      <c r="F686" s="63"/>
      <c r="G686" s="63"/>
      <c r="H686" s="63"/>
    </row>
    <row r="687">
      <c r="A687" s="64"/>
      <c r="F687" s="63"/>
      <c r="G687" s="63"/>
      <c r="H687" s="63"/>
    </row>
    <row r="688">
      <c r="A688" s="64"/>
      <c r="F688" s="63"/>
      <c r="G688" s="63"/>
      <c r="H688" s="63"/>
    </row>
    <row r="689">
      <c r="A689" s="64"/>
      <c r="F689" s="63"/>
      <c r="G689" s="63"/>
      <c r="H689" s="63"/>
    </row>
    <row r="690">
      <c r="A690" s="64"/>
      <c r="F690" s="63"/>
      <c r="G690" s="63"/>
      <c r="H690" s="63"/>
    </row>
    <row r="691">
      <c r="A691" s="64"/>
      <c r="F691" s="63"/>
      <c r="G691" s="63"/>
      <c r="H691" s="63"/>
    </row>
    <row r="692">
      <c r="A692" s="64"/>
      <c r="F692" s="63"/>
      <c r="G692" s="63"/>
      <c r="H692" s="63"/>
    </row>
    <row r="693">
      <c r="A693" s="64"/>
      <c r="F693" s="63"/>
      <c r="G693" s="63"/>
      <c r="H693" s="63"/>
    </row>
    <row r="694">
      <c r="A694" s="64"/>
      <c r="F694" s="63"/>
      <c r="G694" s="63"/>
      <c r="H694" s="63"/>
    </row>
    <row r="695">
      <c r="A695" s="64"/>
      <c r="F695" s="63"/>
      <c r="G695" s="63"/>
      <c r="H695" s="63"/>
    </row>
    <row r="696">
      <c r="A696" s="64"/>
      <c r="F696" s="63"/>
      <c r="G696" s="63"/>
      <c r="H696" s="63"/>
    </row>
    <row r="697">
      <c r="A697" s="64"/>
      <c r="F697" s="63"/>
      <c r="G697" s="63"/>
      <c r="H697" s="63"/>
    </row>
    <row r="698">
      <c r="A698" s="64"/>
      <c r="F698" s="63"/>
      <c r="G698" s="63"/>
      <c r="H698" s="63"/>
    </row>
    <row r="699">
      <c r="A699" s="64"/>
      <c r="F699" s="63"/>
      <c r="G699" s="63"/>
      <c r="H699" s="63"/>
    </row>
    <row r="700">
      <c r="A700" s="64"/>
      <c r="F700" s="63"/>
      <c r="G700" s="63"/>
      <c r="H700" s="63"/>
    </row>
    <row r="701">
      <c r="A701" s="64"/>
      <c r="F701" s="63"/>
      <c r="G701" s="63"/>
      <c r="H701" s="63"/>
    </row>
    <row r="702">
      <c r="A702" s="64"/>
      <c r="F702" s="63"/>
      <c r="G702" s="63"/>
      <c r="H702" s="63"/>
    </row>
    <row r="703">
      <c r="A703" s="64"/>
      <c r="F703" s="63"/>
      <c r="G703" s="63"/>
      <c r="H703" s="63"/>
    </row>
    <row r="704">
      <c r="A704" s="64"/>
      <c r="F704" s="63"/>
      <c r="G704" s="63"/>
      <c r="H704" s="63"/>
    </row>
    <row r="705">
      <c r="A705" s="64"/>
      <c r="F705" s="63"/>
      <c r="G705" s="63"/>
      <c r="H705" s="63"/>
    </row>
    <row r="706">
      <c r="A706" s="64"/>
      <c r="F706" s="63"/>
      <c r="G706" s="63"/>
      <c r="H706" s="63"/>
    </row>
    <row r="707">
      <c r="A707" s="64"/>
      <c r="F707" s="63"/>
      <c r="G707" s="63"/>
      <c r="H707" s="63"/>
    </row>
    <row r="708">
      <c r="A708" s="64"/>
      <c r="F708" s="63"/>
      <c r="G708" s="63"/>
      <c r="H708" s="63"/>
    </row>
    <row r="709">
      <c r="A709" s="64"/>
      <c r="F709" s="63"/>
      <c r="G709" s="63"/>
      <c r="H709" s="63"/>
    </row>
    <row r="710">
      <c r="A710" s="64"/>
      <c r="F710" s="63"/>
      <c r="G710" s="63"/>
      <c r="H710" s="63"/>
    </row>
    <row r="711">
      <c r="A711" s="64"/>
      <c r="F711" s="63"/>
      <c r="G711" s="63"/>
      <c r="H711" s="63"/>
    </row>
    <row r="712">
      <c r="A712" s="64"/>
      <c r="F712" s="63"/>
      <c r="G712" s="63"/>
      <c r="H712" s="63"/>
    </row>
    <row r="713">
      <c r="A713" s="64"/>
      <c r="F713" s="63"/>
      <c r="G713" s="63"/>
      <c r="H713" s="63"/>
    </row>
    <row r="714">
      <c r="A714" s="64"/>
      <c r="F714" s="63"/>
      <c r="G714" s="63"/>
      <c r="H714" s="63"/>
    </row>
    <row r="715">
      <c r="A715" s="64"/>
      <c r="F715" s="63"/>
      <c r="G715" s="63"/>
      <c r="H715" s="63"/>
    </row>
    <row r="716">
      <c r="A716" s="64"/>
      <c r="F716" s="63"/>
      <c r="G716" s="63"/>
      <c r="H716" s="63"/>
    </row>
    <row r="717">
      <c r="A717" s="64"/>
      <c r="F717" s="63"/>
      <c r="G717" s="63"/>
      <c r="H717" s="63"/>
    </row>
    <row r="718">
      <c r="A718" s="64"/>
      <c r="F718" s="63"/>
      <c r="G718" s="63"/>
      <c r="H718" s="63"/>
    </row>
    <row r="719">
      <c r="A719" s="64"/>
      <c r="F719" s="63"/>
      <c r="G719" s="63"/>
      <c r="H719" s="63"/>
    </row>
    <row r="720">
      <c r="A720" s="64"/>
      <c r="F720" s="63"/>
      <c r="G720" s="63"/>
      <c r="H720" s="63"/>
    </row>
    <row r="721">
      <c r="A721" s="64"/>
      <c r="F721" s="63"/>
      <c r="G721" s="63"/>
      <c r="H721" s="63"/>
    </row>
    <row r="722">
      <c r="A722" s="64"/>
      <c r="F722" s="63"/>
      <c r="G722" s="63"/>
      <c r="H722" s="63"/>
    </row>
    <row r="723">
      <c r="A723" s="64"/>
      <c r="F723" s="63"/>
      <c r="G723" s="63"/>
      <c r="H723" s="63"/>
    </row>
    <row r="724">
      <c r="A724" s="64"/>
      <c r="F724" s="63"/>
      <c r="G724" s="63"/>
      <c r="H724" s="63"/>
    </row>
    <row r="725">
      <c r="A725" s="64"/>
      <c r="F725" s="63"/>
      <c r="G725" s="63"/>
      <c r="H725" s="63"/>
    </row>
    <row r="726">
      <c r="A726" s="64"/>
      <c r="F726" s="63"/>
      <c r="G726" s="63"/>
      <c r="H726" s="63"/>
    </row>
    <row r="727">
      <c r="A727" s="64"/>
      <c r="F727" s="63"/>
      <c r="G727" s="63"/>
      <c r="H727" s="63"/>
    </row>
    <row r="728">
      <c r="A728" s="64"/>
      <c r="F728" s="63"/>
      <c r="G728" s="63"/>
      <c r="H728" s="63"/>
    </row>
    <row r="729">
      <c r="A729" s="64"/>
      <c r="F729" s="63"/>
      <c r="G729" s="63"/>
      <c r="H729" s="63"/>
    </row>
    <row r="730">
      <c r="A730" s="64"/>
      <c r="F730" s="63"/>
      <c r="G730" s="63"/>
      <c r="H730" s="63"/>
    </row>
    <row r="731">
      <c r="A731" s="64"/>
      <c r="F731" s="63"/>
      <c r="G731" s="63"/>
      <c r="H731" s="63"/>
    </row>
    <row r="732">
      <c r="A732" s="64"/>
      <c r="F732" s="63"/>
      <c r="G732" s="63"/>
      <c r="H732" s="63"/>
    </row>
    <row r="733">
      <c r="A733" s="64"/>
      <c r="F733" s="63"/>
      <c r="G733" s="63"/>
      <c r="H733" s="63"/>
    </row>
    <row r="734">
      <c r="A734" s="64"/>
      <c r="F734" s="63"/>
      <c r="G734" s="63"/>
      <c r="H734" s="63"/>
    </row>
    <row r="735">
      <c r="A735" s="64"/>
      <c r="F735" s="63"/>
      <c r="G735" s="63"/>
      <c r="H735" s="63"/>
    </row>
    <row r="736">
      <c r="A736" s="64"/>
      <c r="F736" s="63"/>
      <c r="G736" s="63"/>
      <c r="H736" s="63"/>
    </row>
    <row r="737">
      <c r="A737" s="64"/>
      <c r="F737" s="63"/>
      <c r="G737" s="63"/>
      <c r="H737" s="63"/>
    </row>
    <row r="738">
      <c r="A738" s="64"/>
      <c r="F738" s="63"/>
      <c r="G738" s="63"/>
      <c r="H738" s="63"/>
    </row>
    <row r="739">
      <c r="A739" s="64"/>
      <c r="F739" s="63"/>
      <c r="G739" s="63"/>
      <c r="H739" s="63"/>
    </row>
    <row r="740">
      <c r="A740" s="64"/>
      <c r="F740" s="63"/>
      <c r="G740" s="63"/>
      <c r="H740" s="63"/>
    </row>
    <row r="741">
      <c r="A741" s="64"/>
      <c r="F741" s="63"/>
      <c r="G741" s="63"/>
      <c r="H741" s="63"/>
    </row>
    <row r="742">
      <c r="A742" s="64"/>
      <c r="F742" s="63"/>
      <c r="G742" s="63"/>
      <c r="H742" s="63"/>
    </row>
    <row r="743">
      <c r="A743" s="64"/>
      <c r="F743" s="63"/>
      <c r="G743" s="63"/>
      <c r="H743" s="63"/>
    </row>
    <row r="744">
      <c r="A744" s="64"/>
      <c r="F744" s="63"/>
      <c r="G744" s="63"/>
      <c r="H744" s="63"/>
    </row>
    <row r="745">
      <c r="A745" s="64"/>
      <c r="F745" s="63"/>
      <c r="G745" s="63"/>
      <c r="H745" s="63"/>
    </row>
    <row r="746">
      <c r="A746" s="64"/>
      <c r="F746" s="63"/>
      <c r="G746" s="63"/>
      <c r="H746" s="63"/>
    </row>
    <row r="747">
      <c r="A747" s="64"/>
      <c r="F747" s="63"/>
      <c r="G747" s="63"/>
      <c r="H747" s="63"/>
    </row>
    <row r="748">
      <c r="A748" s="64"/>
      <c r="F748" s="63"/>
      <c r="G748" s="63"/>
      <c r="H748" s="63"/>
    </row>
    <row r="749">
      <c r="A749" s="64"/>
      <c r="F749" s="63"/>
      <c r="G749" s="63"/>
      <c r="H749" s="63"/>
    </row>
    <row r="750">
      <c r="A750" s="64"/>
      <c r="F750" s="63"/>
      <c r="G750" s="63"/>
      <c r="H750" s="63"/>
    </row>
    <row r="751">
      <c r="A751" s="64"/>
      <c r="F751" s="63"/>
      <c r="G751" s="63"/>
      <c r="H751" s="63"/>
    </row>
    <row r="752">
      <c r="A752" s="64"/>
      <c r="F752" s="63"/>
      <c r="G752" s="63"/>
      <c r="H752" s="63"/>
    </row>
    <row r="753">
      <c r="A753" s="64"/>
      <c r="F753" s="63"/>
      <c r="G753" s="63"/>
      <c r="H753" s="63"/>
    </row>
    <row r="754">
      <c r="A754" s="64"/>
      <c r="F754" s="63"/>
      <c r="G754" s="63"/>
      <c r="H754" s="63"/>
    </row>
    <row r="755">
      <c r="A755" s="64"/>
      <c r="F755" s="63"/>
      <c r="G755" s="63"/>
      <c r="H755" s="63"/>
    </row>
    <row r="756">
      <c r="A756" s="64"/>
      <c r="F756" s="63"/>
      <c r="G756" s="63"/>
      <c r="H756" s="63"/>
    </row>
    <row r="757">
      <c r="A757" s="64"/>
      <c r="F757" s="63"/>
      <c r="G757" s="63"/>
      <c r="H757" s="63"/>
    </row>
    <row r="758">
      <c r="A758" s="64"/>
      <c r="F758" s="63"/>
      <c r="G758" s="63"/>
      <c r="H758" s="63"/>
    </row>
    <row r="759">
      <c r="A759" s="64"/>
      <c r="F759" s="63"/>
      <c r="G759" s="63"/>
      <c r="H759" s="63"/>
    </row>
    <row r="760">
      <c r="A760" s="64"/>
      <c r="F760" s="63"/>
      <c r="G760" s="63"/>
      <c r="H760" s="63"/>
    </row>
    <row r="761">
      <c r="A761" s="64"/>
      <c r="F761" s="63"/>
      <c r="G761" s="63"/>
      <c r="H761" s="63"/>
    </row>
    <row r="762">
      <c r="A762" s="64"/>
      <c r="F762" s="63"/>
      <c r="G762" s="63"/>
      <c r="H762" s="63"/>
    </row>
    <row r="763">
      <c r="A763" s="64"/>
      <c r="F763" s="63"/>
      <c r="G763" s="63"/>
      <c r="H763" s="63"/>
    </row>
    <row r="764">
      <c r="A764" s="64"/>
      <c r="F764" s="63"/>
      <c r="G764" s="63"/>
      <c r="H764" s="63"/>
    </row>
    <row r="765">
      <c r="A765" s="64"/>
      <c r="F765" s="63"/>
      <c r="G765" s="63"/>
      <c r="H765" s="63"/>
    </row>
    <row r="766">
      <c r="A766" s="64"/>
      <c r="F766" s="63"/>
      <c r="G766" s="63"/>
      <c r="H766" s="63"/>
    </row>
    <row r="767">
      <c r="A767" s="64"/>
      <c r="F767" s="63"/>
      <c r="G767" s="63"/>
      <c r="H767" s="63"/>
    </row>
    <row r="768">
      <c r="A768" s="64"/>
      <c r="F768" s="63"/>
      <c r="G768" s="63"/>
      <c r="H768" s="63"/>
    </row>
    <row r="769">
      <c r="A769" s="64"/>
      <c r="F769" s="63"/>
      <c r="G769" s="63"/>
      <c r="H769" s="63"/>
    </row>
    <row r="770">
      <c r="A770" s="64"/>
      <c r="F770" s="63"/>
      <c r="G770" s="63"/>
      <c r="H770" s="63"/>
    </row>
    <row r="771">
      <c r="A771" s="64"/>
      <c r="F771" s="63"/>
      <c r="G771" s="63"/>
      <c r="H771" s="63"/>
    </row>
    <row r="772">
      <c r="A772" s="64"/>
      <c r="F772" s="63"/>
      <c r="G772" s="63"/>
      <c r="H772" s="63"/>
    </row>
    <row r="773">
      <c r="A773" s="64"/>
      <c r="F773" s="63"/>
      <c r="G773" s="63"/>
      <c r="H773" s="63"/>
    </row>
    <row r="774">
      <c r="A774" s="64"/>
      <c r="F774" s="63"/>
      <c r="G774" s="63"/>
      <c r="H774" s="63"/>
    </row>
    <row r="775">
      <c r="A775" s="64"/>
      <c r="F775" s="63"/>
      <c r="G775" s="63"/>
      <c r="H775" s="63"/>
    </row>
    <row r="776">
      <c r="A776" s="64"/>
      <c r="F776" s="63"/>
      <c r="G776" s="63"/>
      <c r="H776" s="63"/>
    </row>
    <row r="777">
      <c r="A777" s="64"/>
      <c r="F777" s="63"/>
      <c r="G777" s="63"/>
      <c r="H777" s="63"/>
    </row>
    <row r="778">
      <c r="A778" s="64"/>
      <c r="F778" s="63"/>
      <c r="G778" s="63"/>
      <c r="H778" s="63"/>
    </row>
    <row r="779">
      <c r="A779" s="64"/>
      <c r="F779" s="63"/>
      <c r="G779" s="63"/>
      <c r="H779" s="63"/>
    </row>
    <row r="780">
      <c r="A780" s="64"/>
      <c r="F780" s="63"/>
      <c r="G780" s="63"/>
      <c r="H780" s="63"/>
    </row>
    <row r="781">
      <c r="A781" s="64"/>
      <c r="F781" s="63"/>
      <c r="G781" s="63"/>
      <c r="H781" s="63"/>
    </row>
    <row r="782">
      <c r="A782" s="64"/>
      <c r="F782" s="63"/>
      <c r="G782" s="63"/>
      <c r="H782" s="63"/>
    </row>
    <row r="783">
      <c r="A783" s="64"/>
      <c r="F783" s="63"/>
      <c r="G783" s="63"/>
      <c r="H783" s="63"/>
    </row>
    <row r="784">
      <c r="A784" s="64"/>
      <c r="F784" s="63"/>
      <c r="G784" s="63"/>
      <c r="H784" s="63"/>
    </row>
    <row r="785">
      <c r="A785" s="64"/>
      <c r="F785" s="63"/>
      <c r="G785" s="63"/>
      <c r="H785" s="63"/>
    </row>
    <row r="786">
      <c r="A786" s="64"/>
      <c r="F786" s="63"/>
      <c r="G786" s="63"/>
      <c r="H786" s="63"/>
    </row>
    <row r="787">
      <c r="A787" s="64"/>
      <c r="F787" s="63"/>
      <c r="G787" s="63"/>
      <c r="H787" s="63"/>
    </row>
    <row r="788">
      <c r="A788" s="64"/>
      <c r="F788" s="63"/>
      <c r="G788" s="63"/>
      <c r="H788" s="63"/>
    </row>
    <row r="789">
      <c r="A789" s="64"/>
      <c r="F789" s="63"/>
      <c r="G789" s="63"/>
      <c r="H789" s="63"/>
    </row>
    <row r="790">
      <c r="A790" s="64"/>
      <c r="F790" s="63"/>
      <c r="G790" s="63"/>
      <c r="H790" s="63"/>
    </row>
    <row r="791">
      <c r="A791" s="64"/>
      <c r="F791" s="63"/>
      <c r="G791" s="63"/>
      <c r="H791" s="63"/>
    </row>
    <row r="792">
      <c r="A792" s="64"/>
      <c r="F792" s="63"/>
      <c r="G792" s="63"/>
      <c r="H792" s="63"/>
    </row>
    <row r="793">
      <c r="A793" s="64"/>
      <c r="F793" s="63"/>
      <c r="G793" s="63"/>
      <c r="H793" s="63"/>
    </row>
    <row r="794">
      <c r="A794" s="64"/>
      <c r="F794" s="63"/>
      <c r="G794" s="63"/>
      <c r="H794" s="63"/>
    </row>
    <row r="795">
      <c r="A795" s="64"/>
      <c r="F795" s="63"/>
      <c r="G795" s="63"/>
      <c r="H795" s="63"/>
    </row>
    <row r="796">
      <c r="A796" s="64"/>
      <c r="F796" s="63"/>
      <c r="G796" s="63"/>
      <c r="H796" s="63"/>
    </row>
    <row r="797">
      <c r="A797" s="64"/>
      <c r="F797" s="63"/>
      <c r="G797" s="63"/>
      <c r="H797" s="63"/>
    </row>
    <row r="798">
      <c r="A798" s="64"/>
      <c r="F798" s="63"/>
      <c r="G798" s="63"/>
      <c r="H798" s="63"/>
    </row>
    <row r="799">
      <c r="A799" s="64"/>
      <c r="F799" s="63"/>
      <c r="G799" s="63"/>
      <c r="H799" s="63"/>
    </row>
    <row r="800">
      <c r="A800" s="64"/>
      <c r="F800" s="63"/>
      <c r="G800" s="63"/>
      <c r="H800" s="63"/>
    </row>
    <row r="801">
      <c r="A801" s="64"/>
      <c r="F801" s="63"/>
      <c r="G801" s="63"/>
      <c r="H801" s="63"/>
    </row>
    <row r="802">
      <c r="A802" s="64"/>
      <c r="F802" s="63"/>
      <c r="G802" s="63"/>
      <c r="H802" s="63"/>
    </row>
    <row r="803">
      <c r="A803" s="64"/>
      <c r="F803" s="63"/>
      <c r="G803" s="63"/>
      <c r="H803" s="63"/>
    </row>
    <row r="804">
      <c r="A804" s="64"/>
      <c r="F804" s="63"/>
      <c r="G804" s="63"/>
      <c r="H804" s="63"/>
    </row>
    <row r="805">
      <c r="A805" s="64"/>
      <c r="F805" s="63"/>
      <c r="G805" s="63"/>
      <c r="H805" s="63"/>
    </row>
    <row r="806">
      <c r="A806" s="64"/>
      <c r="F806" s="63"/>
      <c r="G806" s="63"/>
      <c r="H806" s="63"/>
    </row>
    <row r="807">
      <c r="A807" s="64"/>
      <c r="F807" s="63"/>
      <c r="G807" s="63"/>
      <c r="H807" s="63"/>
    </row>
    <row r="808">
      <c r="A808" s="64"/>
      <c r="F808" s="63"/>
      <c r="G808" s="63"/>
      <c r="H808" s="63"/>
    </row>
    <row r="809">
      <c r="A809" s="64"/>
      <c r="F809" s="63"/>
      <c r="G809" s="63"/>
      <c r="H809" s="63"/>
    </row>
    <row r="810">
      <c r="A810" s="64"/>
      <c r="F810" s="63"/>
      <c r="G810" s="63"/>
      <c r="H810" s="63"/>
    </row>
    <row r="811">
      <c r="A811" s="64"/>
      <c r="F811" s="63"/>
      <c r="G811" s="63"/>
      <c r="H811" s="63"/>
    </row>
    <row r="812">
      <c r="A812" s="64"/>
      <c r="F812" s="63"/>
      <c r="G812" s="63"/>
      <c r="H812" s="63"/>
    </row>
    <row r="813">
      <c r="A813" s="64"/>
      <c r="F813" s="63"/>
      <c r="G813" s="63"/>
      <c r="H813" s="63"/>
    </row>
    <row r="814">
      <c r="A814" s="64"/>
      <c r="F814" s="63"/>
      <c r="G814" s="63"/>
      <c r="H814" s="63"/>
    </row>
    <row r="815">
      <c r="A815" s="64"/>
      <c r="F815" s="63"/>
      <c r="G815" s="63"/>
      <c r="H815" s="63"/>
    </row>
    <row r="816">
      <c r="A816" s="64"/>
      <c r="F816" s="63"/>
      <c r="G816" s="63"/>
      <c r="H816" s="63"/>
    </row>
    <row r="817">
      <c r="A817" s="64"/>
      <c r="F817" s="63"/>
      <c r="G817" s="63"/>
      <c r="H817" s="63"/>
    </row>
    <row r="818">
      <c r="A818" s="64"/>
      <c r="F818" s="63"/>
      <c r="G818" s="63"/>
      <c r="H818" s="63"/>
    </row>
    <row r="819">
      <c r="A819" s="64"/>
      <c r="F819" s="63"/>
      <c r="G819" s="63"/>
      <c r="H819" s="63"/>
    </row>
    <row r="820">
      <c r="A820" s="64"/>
      <c r="F820" s="63"/>
      <c r="G820" s="63"/>
      <c r="H820" s="63"/>
    </row>
    <row r="821">
      <c r="A821" s="64"/>
      <c r="F821" s="63"/>
      <c r="G821" s="63"/>
      <c r="H821" s="63"/>
    </row>
    <row r="822">
      <c r="A822" s="64"/>
      <c r="F822" s="63"/>
      <c r="G822" s="63"/>
      <c r="H822" s="63"/>
    </row>
    <row r="823">
      <c r="A823" s="64"/>
      <c r="F823" s="63"/>
      <c r="G823" s="63"/>
      <c r="H823" s="63"/>
    </row>
    <row r="824">
      <c r="A824" s="64"/>
      <c r="F824" s="63"/>
      <c r="G824" s="63"/>
      <c r="H824" s="63"/>
    </row>
    <row r="825">
      <c r="A825" s="64"/>
      <c r="F825" s="63"/>
      <c r="G825" s="63"/>
      <c r="H825" s="63"/>
    </row>
    <row r="826">
      <c r="A826" s="64"/>
      <c r="F826" s="63"/>
      <c r="G826" s="63"/>
      <c r="H826" s="63"/>
    </row>
    <row r="827">
      <c r="A827" s="64"/>
      <c r="F827" s="63"/>
      <c r="G827" s="63"/>
      <c r="H827" s="63"/>
    </row>
    <row r="828">
      <c r="A828" s="64"/>
      <c r="F828" s="63"/>
      <c r="G828" s="63"/>
      <c r="H828" s="63"/>
    </row>
    <row r="829">
      <c r="A829" s="64"/>
      <c r="F829" s="63"/>
      <c r="G829" s="63"/>
      <c r="H829" s="63"/>
    </row>
    <row r="830">
      <c r="A830" s="64"/>
      <c r="F830" s="63"/>
      <c r="G830" s="63"/>
      <c r="H830" s="63"/>
    </row>
    <row r="831">
      <c r="A831" s="64"/>
      <c r="F831" s="63"/>
      <c r="G831" s="63"/>
      <c r="H831" s="63"/>
    </row>
    <row r="832">
      <c r="A832" s="64"/>
      <c r="F832" s="63"/>
      <c r="G832" s="63"/>
      <c r="H832" s="63"/>
    </row>
    <row r="833">
      <c r="A833" s="64"/>
      <c r="F833" s="63"/>
      <c r="G833" s="63"/>
      <c r="H833" s="63"/>
    </row>
    <row r="834">
      <c r="A834" s="64"/>
      <c r="F834" s="63"/>
      <c r="G834" s="63"/>
      <c r="H834" s="63"/>
    </row>
    <row r="835">
      <c r="A835" s="64"/>
      <c r="F835" s="63"/>
      <c r="G835" s="63"/>
      <c r="H835" s="63"/>
    </row>
    <row r="836">
      <c r="A836" s="64"/>
      <c r="F836" s="63"/>
      <c r="G836" s="63"/>
      <c r="H836" s="63"/>
    </row>
    <row r="837">
      <c r="A837" s="64"/>
      <c r="F837" s="63"/>
      <c r="G837" s="63"/>
      <c r="H837" s="63"/>
    </row>
    <row r="838">
      <c r="A838" s="64"/>
      <c r="F838" s="63"/>
      <c r="G838" s="63"/>
      <c r="H838" s="63"/>
    </row>
    <row r="839">
      <c r="A839" s="64"/>
      <c r="F839" s="63"/>
      <c r="G839" s="63"/>
      <c r="H839" s="63"/>
    </row>
    <row r="840">
      <c r="A840" s="64"/>
      <c r="F840" s="63"/>
      <c r="G840" s="63"/>
      <c r="H840" s="63"/>
    </row>
    <row r="841">
      <c r="A841" s="64"/>
      <c r="F841" s="63"/>
      <c r="G841" s="63"/>
      <c r="H841" s="63"/>
    </row>
    <row r="842">
      <c r="A842" s="64"/>
      <c r="F842" s="63"/>
      <c r="G842" s="63"/>
      <c r="H842" s="63"/>
    </row>
    <row r="843">
      <c r="A843" s="64"/>
      <c r="F843" s="63"/>
      <c r="G843" s="63"/>
      <c r="H843" s="63"/>
    </row>
    <row r="844">
      <c r="A844" s="64"/>
      <c r="F844" s="63"/>
      <c r="G844" s="63"/>
      <c r="H844" s="63"/>
    </row>
    <row r="845">
      <c r="A845" s="64"/>
      <c r="F845" s="63"/>
      <c r="G845" s="63"/>
      <c r="H845" s="63"/>
    </row>
    <row r="846">
      <c r="A846" s="64"/>
      <c r="F846" s="63"/>
      <c r="G846" s="63"/>
      <c r="H846" s="63"/>
    </row>
    <row r="847">
      <c r="A847" s="64"/>
      <c r="F847" s="63"/>
      <c r="G847" s="63"/>
      <c r="H847" s="63"/>
    </row>
    <row r="848">
      <c r="A848" s="64"/>
      <c r="F848" s="63"/>
      <c r="G848" s="63"/>
      <c r="H848" s="63"/>
    </row>
    <row r="849">
      <c r="A849" s="64"/>
      <c r="F849" s="63"/>
      <c r="G849" s="63"/>
      <c r="H849" s="63"/>
    </row>
    <row r="850">
      <c r="A850" s="64"/>
      <c r="F850" s="63"/>
      <c r="G850" s="63"/>
      <c r="H850" s="63"/>
    </row>
    <row r="851">
      <c r="A851" s="64"/>
      <c r="F851" s="63"/>
      <c r="G851" s="63"/>
      <c r="H851" s="63"/>
    </row>
    <row r="852">
      <c r="A852" s="64"/>
      <c r="F852" s="63"/>
      <c r="G852" s="63"/>
      <c r="H852" s="63"/>
    </row>
    <row r="853">
      <c r="A853" s="64"/>
      <c r="F853" s="63"/>
      <c r="G853" s="63"/>
      <c r="H853" s="63"/>
    </row>
    <row r="854">
      <c r="A854" s="64"/>
      <c r="F854" s="63"/>
      <c r="G854" s="63"/>
      <c r="H854" s="63"/>
    </row>
    <row r="855">
      <c r="A855" s="64"/>
      <c r="F855" s="63"/>
      <c r="G855" s="63"/>
      <c r="H855" s="63"/>
    </row>
    <row r="856">
      <c r="A856" s="64"/>
      <c r="F856" s="63"/>
      <c r="G856" s="63"/>
      <c r="H856" s="63"/>
    </row>
    <row r="857">
      <c r="A857" s="64"/>
      <c r="F857" s="63"/>
      <c r="G857" s="63"/>
      <c r="H857" s="63"/>
    </row>
    <row r="858">
      <c r="A858" s="64"/>
      <c r="F858" s="63"/>
      <c r="G858" s="63"/>
      <c r="H858" s="63"/>
    </row>
    <row r="859">
      <c r="A859" s="64"/>
      <c r="F859" s="63"/>
      <c r="G859" s="63"/>
      <c r="H859" s="63"/>
    </row>
    <row r="860">
      <c r="A860" s="64"/>
      <c r="F860" s="63"/>
      <c r="G860" s="63"/>
      <c r="H860" s="63"/>
    </row>
    <row r="861">
      <c r="A861" s="64"/>
      <c r="F861" s="63"/>
      <c r="G861" s="63"/>
      <c r="H861" s="63"/>
    </row>
    <row r="862">
      <c r="A862" s="64"/>
      <c r="F862" s="63"/>
      <c r="G862" s="63"/>
      <c r="H862" s="63"/>
    </row>
    <row r="863">
      <c r="A863" s="64"/>
      <c r="F863" s="63"/>
      <c r="G863" s="63"/>
      <c r="H863" s="63"/>
    </row>
    <row r="864">
      <c r="A864" s="64"/>
      <c r="F864" s="63"/>
      <c r="G864" s="63"/>
      <c r="H864" s="63"/>
    </row>
    <row r="865">
      <c r="A865" s="64"/>
      <c r="F865" s="63"/>
      <c r="G865" s="63"/>
      <c r="H865" s="63"/>
    </row>
    <row r="866">
      <c r="A866" s="64"/>
      <c r="F866" s="63"/>
      <c r="G866" s="63"/>
      <c r="H866" s="63"/>
    </row>
    <row r="867">
      <c r="A867" s="64"/>
      <c r="F867" s="63"/>
      <c r="G867" s="63"/>
      <c r="H867" s="63"/>
    </row>
    <row r="868">
      <c r="A868" s="64"/>
      <c r="F868" s="63"/>
      <c r="G868" s="63"/>
      <c r="H868" s="63"/>
    </row>
    <row r="869">
      <c r="A869" s="64"/>
      <c r="F869" s="63"/>
      <c r="G869" s="63"/>
      <c r="H869" s="63"/>
    </row>
    <row r="870">
      <c r="A870" s="64"/>
      <c r="F870" s="63"/>
      <c r="G870" s="63"/>
      <c r="H870" s="63"/>
    </row>
    <row r="871">
      <c r="A871" s="64"/>
      <c r="F871" s="63"/>
      <c r="G871" s="63"/>
      <c r="H871" s="63"/>
    </row>
    <row r="872">
      <c r="A872" s="64"/>
      <c r="F872" s="63"/>
      <c r="G872" s="63"/>
      <c r="H872" s="63"/>
    </row>
    <row r="873">
      <c r="A873" s="64"/>
      <c r="F873" s="63"/>
      <c r="G873" s="63"/>
      <c r="H873" s="63"/>
    </row>
    <row r="874">
      <c r="A874" s="64"/>
      <c r="F874" s="63"/>
      <c r="G874" s="63"/>
      <c r="H874" s="63"/>
    </row>
    <row r="875">
      <c r="A875" s="64"/>
      <c r="F875" s="63"/>
      <c r="G875" s="63"/>
      <c r="H875" s="63"/>
    </row>
    <row r="876">
      <c r="A876" s="64"/>
      <c r="F876" s="63"/>
      <c r="G876" s="63"/>
      <c r="H876" s="63"/>
    </row>
    <row r="877">
      <c r="A877" s="64"/>
      <c r="F877" s="63"/>
      <c r="G877" s="63"/>
      <c r="H877" s="63"/>
    </row>
    <row r="878">
      <c r="A878" s="64"/>
      <c r="F878" s="63"/>
      <c r="G878" s="63"/>
      <c r="H878" s="63"/>
    </row>
    <row r="879">
      <c r="A879" s="64"/>
      <c r="F879" s="63"/>
      <c r="G879" s="63"/>
      <c r="H879" s="63"/>
    </row>
    <row r="880">
      <c r="A880" s="64"/>
      <c r="F880" s="63"/>
      <c r="G880" s="63"/>
      <c r="H880" s="63"/>
    </row>
    <row r="881">
      <c r="A881" s="64"/>
      <c r="F881" s="63"/>
      <c r="G881" s="63"/>
      <c r="H881" s="63"/>
    </row>
    <row r="882">
      <c r="A882" s="64"/>
      <c r="F882" s="63"/>
      <c r="G882" s="63"/>
      <c r="H882" s="63"/>
    </row>
    <row r="883">
      <c r="A883" s="64"/>
      <c r="F883" s="63"/>
      <c r="G883" s="63"/>
      <c r="H883" s="63"/>
    </row>
    <row r="884">
      <c r="A884" s="64"/>
      <c r="F884" s="63"/>
      <c r="G884" s="63"/>
      <c r="H884" s="63"/>
    </row>
    <row r="885">
      <c r="A885" s="64"/>
      <c r="F885" s="63"/>
      <c r="G885" s="63"/>
      <c r="H885" s="63"/>
    </row>
    <row r="886">
      <c r="A886" s="64"/>
      <c r="F886" s="63"/>
      <c r="G886" s="63"/>
      <c r="H886" s="63"/>
    </row>
    <row r="887">
      <c r="A887" s="64"/>
      <c r="F887" s="63"/>
      <c r="G887" s="63"/>
      <c r="H887" s="63"/>
    </row>
    <row r="888">
      <c r="A888" s="64"/>
      <c r="F888" s="63"/>
      <c r="G888" s="63"/>
      <c r="H888" s="63"/>
    </row>
    <row r="889">
      <c r="A889" s="64"/>
      <c r="F889" s="63"/>
      <c r="G889" s="63"/>
      <c r="H889" s="63"/>
    </row>
    <row r="890">
      <c r="A890" s="64"/>
      <c r="F890" s="63"/>
      <c r="G890" s="63"/>
      <c r="H890" s="63"/>
    </row>
    <row r="891">
      <c r="A891" s="64"/>
      <c r="F891" s="63"/>
      <c r="G891" s="63"/>
      <c r="H891" s="63"/>
    </row>
    <row r="892">
      <c r="A892" s="64"/>
      <c r="F892" s="63"/>
      <c r="G892" s="63"/>
      <c r="H892" s="63"/>
    </row>
    <row r="893">
      <c r="A893" s="64"/>
      <c r="F893" s="63"/>
      <c r="G893" s="63"/>
      <c r="H893" s="63"/>
    </row>
    <row r="894">
      <c r="A894" s="64"/>
      <c r="F894" s="63"/>
      <c r="G894" s="63"/>
      <c r="H894" s="63"/>
    </row>
    <row r="895">
      <c r="A895" s="64"/>
      <c r="F895" s="63"/>
      <c r="G895" s="63"/>
      <c r="H895" s="63"/>
    </row>
    <row r="896">
      <c r="A896" s="64"/>
      <c r="F896" s="63"/>
      <c r="G896" s="63"/>
      <c r="H896" s="63"/>
    </row>
    <row r="897">
      <c r="A897" s="64"/>
      <c r="F897" s="63"/>
      <c r="G897" s="63"/>
      <c r="H897" s="63"/>
    </row>
    <row r="898">
      <c r="A898" s="64"/>
      <c r="F898" s="63"/>
      <c r="G898" s="63"/>
      <c r="H898" s="63"/>
    </row>
    <row r="899">
      <c r="A899" s="64"/>
      <c r="F899" s="63"/>
      <c r="G899" s="63"/>
      <c r="H899" s="63"/>
    </row>
    <row r="900">
      <c r="A900" s="64"/>
      <c r="F900" s="63"/>
      <c r="G900" s="63"/>
      <c r="H900" s="63"/>
    </row>
    <row r="901">
      <c r="A901" s="64"/>
      <c r="F901" s="63"/>
      <c r="G901" s="63"/>
      <c r="H901" s="63"/>
    </row>
    <row r="902">
      <c r="A902" s="64"/>
      <c r="F902" s="63"/>
      <c r="G902" s="63"/>
      <c r="H902" s="63"/>
    </row>
    <row r="903">
      <c r="A903" s="64"/>
      <c r="F903" s="63"/>
      <c r="G903" s="63"/>
      <c r="H903" s="63"/>
    </row>
    <row r="904">
      <c r="A904" s="64"/>
      <c r="F904" s="63"/>
      <c r="G904" s="63"/>
      <c r="H904" s="63"/>
    </row>
    <row r="905">
      <c r="A905" s="64"/>
      <c r="F905" s="63"/>
      <c r="G905" s="63"/>
      <c r="H905" s="63"/>
    </row>
    <row r="906">
      <c r="A906" s="64"/>
      <c r="F906" s="63"/>
      <c r="G906" s="63"/>
      <c r="H906" s="63"/>
    </row>
    <row r="907">
      <c r="A907" s="64"/>
      <c r="F907" s="63"/>
      <c r="G907" s="63"/>
      <c r="H907" s="63"/>
    </row>
    <row r="908">
      <c r="A908" s="64"/>
      <c r="F908" s="63"/>
      <c r="G908" s="63"/>
      <c r="H908" s="63"/>
    </row>
    <row r="909">
      <c r="A909" s="64"/>
      <c r="F909" s="63"/>
      <c r="G909" s="63"/>
      <c r="H909" s="63"/>
    </row>
    <row r="910">
      <c r="A910" s="64"/>
      <c r="F910" s="63"/>
      <c r="G910" s="63"/>
      <c r="H910" s="63"/>
    </row>
    <row r="911">
      <c r="A911" s="64"/>
      <c r="F911" s="63"/>
      <c r="G911" s="63"/>
      <c r="H911" s="63"/>
    </row>
    <row r="912">
      <c r="A912" s="64"/>
      <c r="F912" s="63"/>
      <c r="G912" s="63"/>
      <c r="H912" s="63"/>
    </row>
    <row r="913">
      <c r="A913" s="64"/>
      <c r="F913" s="63"/>
      <c r="G913" s="63"/>
      <c r="H913" s="63"/>
    </row>
    <row r="914">
      <c r="A914" s="64"/>
      <c r="F914" s="63"/>
      <c r="G914" s="63"/>
      <c r="H914" s="63"/>
    </row>
    <row r="915">
      <c r="A915" s="64"/>
      <c r="F915" s="63"/>
      <c r="G915" s="63"/>
      <c r="H915" s="63"/>
    </row>
    <row r="916">
      <c r="A916" s="64"/>
      <c r="F916" s="63"/>
      <c r="G916" s="63"/>
      <c r="H916" s="63"/>
    </row>
    <row r="917">
      <c r="A917" s="64"/>
      <c r="F917" s="63"/>
      <c r="G917" s="63"/>
      <c r="H917" s="63"/>
    </row>
    <row r="918">
      <c r="A918" s="64"/>
      <c r="F918" s="63"/>
      <c r="G918" s="63"/>
      <c r="H918" s="63"/>
    </row>
    <row r="919">
      <c r="A919" s="64"/>
      <c r="F919" s="63"/>
      <c r="G919" s="63"/>
      <c r="H919" s="63"/>
    </row>
    <row r="920">
      <c r="A920" s="64"/>
      <c r="F920" s="63"/>
      <c r="G920" s="63"/>
      <c r="H920" s="63"/>
    </row>
    <row r="921">
      <c r="A921" s="64"/>
      <c r="F921" s="63"/>
      <c r="G921" s="63"/>
      <c r="H921" s="63"/>
    </row>
    <row r="922">
      <c r="A922" s="64"/>
      <c r="F922" s="63"/>
      <c r="G922" s="63"/>
      <c r="H922" s="63"/>
    </row>
    <row r="923">
      <c r="A923" s="64"/>
      <c r="F923" s="63"/>
      <c r="G923" s="63"/>
      <c r="H923" s="63"/>
    </row>
    <row r="924">
      <c r="A924" s="64"/>
      <c r="F924" s="63"/>
      <c r="G924" s="63"/>
      <c r="H924" s="63"/>
    </row>
    <row r="925">
      <c r="A925" s="64"/>
      <c r="F925" s="63"/>
      <c r="G925" s="63"/>
      <c r="H925" s="63"/>
    </row>
    <row r="926">
      <c r="A926" s="64"/>
      <c r="F926" s="63"/>
      <c r="G926" s="63"/>
      <c r="H926" s="63"/>
    </row>
    <row r="927">
      <c r="A927" s="64"/>
      <c r="F927" s="63"/>
      <c r="G927" s="63"/>
      <c r="H927" s="63"/>
    </row>
    <row r="928">
      <c r="A928" s="64"/>
      <c r="F928" s="63"/>
      <c r="G928" s="63"/>
      <c r="H928" s="63"/>
    </row>
    <row r="929">
      <c r="A929" s="64"/>
      <c r="F929" s="63"/>
      <c r="G929" s="63"/>
      <c r="H929" s="63"/>
    </row>
    <row r="930">
      <c r="A930" s="64"/>
      <c r="F930" s="63"/>
      <c r="G930" s="63"/>
      <c r="H930" s="63"/>
    </row>
    <row r="931">
      <c r="A931" s="64"/>
      <c r="F931" s="63"/>
      <c r="G931" s="63"/>
      <c r="H931" s="63"/>
    </row>
    <row r="932">
      <c r="A932" s="64"/>
      <c r="F932" s="63"/>
      <c r="G932" s="63"/>
      <c r="H932" s="63"/>
    </row>
    <row r="933">
      <c r="A933" s="64"/>
      <c r="F933" s="63"/>
      <c r="G933" s="63"/>
      <c r="H933" s="63"/>
    </row>
    <row r="934">
      <c r="A934" s="64"/>
      <c r="F934" s="63"/>
      <c r="G934" s="63"/>
      <c r="H934" s="63"/>
    </row>
    <row r="935">
      <c r="A935" s="64"/>
      <c r="F935" s="63"/>
      <c r="G935" s="63"/>
      <c r="H935" s="63"/>
    </row>
    <row r="936">
      <c r="A936" s="64"/>
      <c r="F936" s="63"/>
      <c r="G936" s="63"/>
      <c r="H936" s="63"/>
    </row>
    <row r="937">
      <c r="A937" s="64"/>
      <c r="F937" s="63"/>
      <c r="G937" s="63"/>
      <c r="H937" s="63"/>
    </row>
    <row r="938">
      <c r="A938" s="64"/>
      <c r="F938" s="63"/>
      <c r="G938" s="63"/>
      <c r="H938" s="63"/>
    </row>
    <row r="939">
      <c r="A939" s="64"/>
      <c r="F939" s="63"/>
      <c r="G939" s="63"/>
      <c r="H939" s="63"/>
    </row>
    <row r="940">
      <c r="A940" s="64"/>
      <c r="F940" s="63"/>
      <c r="G940" s="63"/>
      <c r="H940" s="63"/>
    </row>
    <row r="941">
      <c r="A941" s="64"/>
      <c r="F941" s="63"/>
      <c r="G941" s="63"/>
      <c r="H941" s="63"/>
    </row>
    <row r="942">
      <c r="A942" s="64"/>
      <c r="F942" s="63"/>
      <c r="G942" s="63"/>
      <c r="H942" s="63"/>
    </row>
    <row r="943">
      <c r="A943" s="64"/>
      <c r="F943" s="63"/>
      <c r="G943" s="63"/>
      <c r="H943" s="63"/>
    </row>
    <row r="944">
      <c r="A944" s="64"/>
      <c r="F944" s="63"/>
      <c r="G944" s="63"/>
      <c r="H944" s="63"/>
    </row>
    <row r="945">
      <c r="A945" s="64"/>
      <c r="F945" s="63"/>
      <c r="G945" s="63"/>
      <c r="H945" s="63"/>
    </row>
    <row r="946">
      <c r="A946" s="64"/>
      <c r="F946" s="63"/>
      <c r="G946" s="63"/>
      <c r="H946" s="63"/>
    </row>
    <row r="947">
      <c r="A947" s="64"/>
      <c r="F947" s="63"/>
      <c r="G947" s="63"/>
      <c r="H947" s="63"/>
    </row>
    <row r="948">
      <c r="A948" s="64"/>
      <c r="F948" s="63"/>
      <c r="G948" s="63"/>
      <c r="H948" s="63"/>
    </row>
    <row r="949">
      <c r="A949" s="64"/>
      <c r="F949" s="63"/>
      <c r="G949" s="63"/>
      <c r="H949" s="63"/>
    </row>
    <row r="950">
      <c r="A950" s="64"/>
      <c r="F950" s="63"/>
      <c r="G950" s="63"/>
      <c r="H950" s="63"/>
    </row>
    <row r="951">
      <c r="A951" s="64"/>
      <c r="F951" s="63"/>
      <c r="G951" s="63"/>
      <c r="H951" s="63"/>
    </row>
    <row r="952">
      <c r="A952" s="64"/>
      <c r="F952" s="63"/>
      <c r="G952" s="63"/>
      <c r="H952" s="63"/>
    </row>
    <row r="953">
      <c r="A953" s="64"/>
      <c r="F953" s="63"/>
      <c r="G953" s="63"/>
      <c r="H953" s="63"/>
    </row>
    <row r="954">
      <c r="A954" s="64"/>
      <c r="F954" s="63"/>
      <c r="G954" s="63"/>
      <c r="H954" s="63"/>
    </row>
    <row r="955">
      <c r="A955" s="64"/>
      <c r="F955" s="63"/>
      <c r="G955" s="63"/>
      <c r="H955" s="63"/>
    </row>
    <row r="956">
      <c r="A956" s="64"/>
      <c r="F956" s="63"/>
      <c r="G956" s="63"/>
      <c r="H956" s="63"/>
    </row>
    <row r="957">
      <c r="A957" s="64"/>
      <c r="F957" s="63"/>
      <c r="G957" s="63"/>
      <c r="H957" s="63"/>
    </row>
    <row r="958">
      <c r="A958" s="64"/>
      <c r="F958" s="63"/>
      <c r="G958" s="63"/>
      <c r="H958" s="63"/>
    </row>
    <row r="959">
      <c r="A959" s="64"/>
      <c r="F959" s="63"/>
      <c r="G959" s="63"/>
      <c r="H959" s="63"/>
    </row>
    <row r="960">
      <c r="A960" s="64"/>
      <c r="F960" s="63"/>
      <c r="G960" s="63"/>
      <c r="H960" s="63"/>
    </row>
    <row r="961">
      <c r="A961" s="64"/>
      <c r="F961" s="63"/>
      <c r="G961" s="63"/>
      <c r="H961" s="63"/>
    </row>
    <row r="962">
      <c r="A962" s="64"/>
      <c r="F962" s="63"/>
      <c r="G962" s="63"/>
      <c r="H962" s="63"/>
    </row>
    <row r="963">
      <c r="A963" s="64"/>
      <c r="F963" s="63"/>
      <c r="G963" s="63"/>
      <c r="H963" s="63"/>
    </row>
    <row r="964">
      <c r="A964" s="64"/>
      <c r="F964" s="63"/>
      <c r="G964" s="63"/>
      <c r="H964" s="63"/>
    </row>
    <row r="965">
      <c r="A965" s="64"/>
      <c r="F965" s="63"/>
      <c r="G965" s="63"/>
      <c r="H965" s="63"/>
    </row>
    <row r="966">
      <c r="A966" s="64"/>
      <c r="F966" s="63"/>
      <c r="G966" s="63"/>
      <c r="H966" s="63"/>
    </row>
    <row r="967">
      <c r="A967" s="64"/>
      <c r="F967" s="63"/>
      <c r="G967" s="63"/>
      <c r="H967" s="63"/>
    </row>
    <row r="968">
      <c r="A968" s="64"/>
      <c r="F968" s="63"/>
      <c r="G968" s="63"/>
      <c r="H968" s="63"/>
    </row>
    <row r="969">
      <c r="A969" s="64"/>
      <c r="F969" s="63"/>
      <c r="G969" s="63"/>
      <c r="H969" s="63"/>
    </row>
    <row r="970">
      <c r="A970" s="64"/>
      <c r="F970" s="63"/>
      <c r="G970" s="63"/>
      <c r="H970" s="63"/>
    </row>
    <row r="971">
      <c r="A971" s="64"/>
      <c r="F971" s="63"/>
      <c r="G971" s="63"/>
      <c r="H971" s="63"/>
    </row>
    <row r="972">
      <c r="A972" s="64"/>
      <c r="F972" s="63"/>
      <c r="G972" s="63"/>
      <c r="H972" s="63"/>
    </row>
    <row r="973">
      <c r="A973" s="64"/>
      <c r="F973" s="63"/>
      <c r="G973" s="63"/>
      <c r="H973" s="63"/>
    </row>
    <row r="974">
      <c r="A974" s="64"/>
      <c r="F974" s="63"/>
      <c r="G974" s="63"/>
      <c r="H974" s="63"/>
    </row>
    <row r="975">
      <c r="A975" s="64"/>
      <c r="F975" s="63"/>
      <c r="G975" s="63"/>
      <c r="H975" s="63"/>
    </row>
    <row r="976">
      <c r="A976" s="64"/>
      <c r="F976" s="63"/>
      <c r="G976" s="63"/>
      <c r="H976" s="63"/>
    </row>
    <row r="977">
      <c r="A977" s="64"/>
      <c r="F977" s="63"/>
      <c r="G977" s="63"/>
      <c r="H977" s="63"/>
    </row>
    <row r="978">
      <c r="A978" s="64"/>
      <c r="F978" s="63"/>
      <c r="G978" s="63"/>
      <c r="H978" s="63"/>
    </row>
    <row r="979">
      <c r="A979" s="64"/>
      <c r="F979" s="63"/>
      <c r="G979" s="63"/>
      <c r="H979" s="63"/>
    </row>
    <row r="980">
      <c r="A980" s="64"/>
      <c r="F980" s="63"/>
      <c r="G980" s="63"/>
      <c r="H980" s="63"/>
    </row>
    <row r="981">
      <c r="A981" s="64"/>
      <c r="F981" s="63"/>
      <c r="G981" s="63"/>
      <c r="H981" s="63"/>
    </row>
    <row r="982">
      <c r="A982" s="64"/>
      <c r="F982" s="63"/>
      <c r="G982" s="63"/>
      <c r="H982" s="63"/>
    </row>
    <row r="983">
      <c r="A983" s="64"/>
      <c r="F983" s="63"/>
      <c r="G983" s="63"/>
      <c r="H983" s="63"/>
    </row>
    <row r="984">
      <c r="A984" s="64"/>
      <c r="F984" s="63"/>
      <c r="G984" s="63"/>
      <c r="H984" s="63"/>
    </row>
    <row r="985">
      <c r="A985" s="64"/>
      <c r="F985" s="63"/>
      <c r="G985" s="63"/>
      <c r="H985" s="63"/>
    </row>
    <row r="986">
      <c r="A986" s="64"/>
      <c r="F986" s="63"/>
      <c r="G986" s="63"/>
      <c r="H986" s="63"/>
    </row>
    <row r="987">
      <c r="A987" s="64"/>
      <c r="F987" s="63"/>
      <c r="G987" s="63"/>
      <c r="H987" s="63"/>
    </row>
    <row r="988">
      <c r="A988" s="64"/>
      <c r="F988" s="63"/>
      <c r="G988" s="63"/>
      <c r="H988" s="63"/>
    </row>
    <row r="989">
      <c r="A989" s="64"/>
      <c r="F989" s="63"/>
      <c r="G989" s="63"/>
      <c r="H989" s="63"/>
    </row>
    <row r="990">
      <c r="A990" s="64"/>
      <c r="F990" s="63"/>
      <c r="G990" s="63"/>
      <c r="H990" s="63"/>
    </row>
    <row r="991">
      <c r="A991" s="64"/>
      <c r="F991" s="63"/>
      <c r="G991" s="63"/>
      <c r="H991" s="63"/>
    </row>
    <row r="992">
      <c r="A992" s="64"/>
      <c r="F992" s="63"/>
      <c r="G992" s="63"/>
      <c r="H992" s="63"/>
    </row>
    <row r="993">
      <c r="A993" s="64"/>
      <c r="F993" s="63"/>
      <c r="G993" s="63"/>
      <c r="H993" s="63"/>
    </row>
    <row r="994">
      <c r="A994" s="64"/>
      <c r="F994" s="63"/>
      <c r="G994" s="63"/>
      <c r="H994" s="63"/>
    </row>
    <row r="995">
      <c r="A995" s="64"/>
      <c r="F995" s="63"/>
      <c r="G995" s="63"/>
      <c r="H995" s="63"/>
    </row>
    <row r="996">
      <c r="A996" s="64"/>
      <c r="F996" s="63"/>
      <c r="G996" s="63"/>
      <c r="H996" s="63"/>
    </row>
    <row r="997">
      <c r="A997" s="64"/>
      <c r="F997" s="63"/>
      <c r="G997" s="63"/>
      <c r="H997" s="63"/>
    </row>
    <row r="998">
      <c r="A998" s="64"/>
      <c r="F998" s="63"/>
      <c r="G998" s="63"/>
      <c r="H998" s="63"/>
    </row>
    <row r="999">
      <c r="A999" s="64"/>
      <c r="F999" s="63"/>
      <c r="G999" s="63"/>
      <c r="H999" s="63"/>
    </row>
    <row r="1000">
      <c r="A1000" s="64"/>
      <c r="F1000" s="63"/>
      <c r="G1000" s="63"/>
      <c r="H1000" s="63"/>
    </row>
    <row r="1001">
      <c r="A1001" s="64"/>
      <c r="F1001" s="63"/>
      <c r="G1001" s="63"/>
      <c r="H1001" s="63"/>
    </row>
    <row r="1002">
      <c r="A1002" s="64"/>
      <c r="F1002" s="63"/>
      <c r="G1002" s="63"/>
      <c r="H1002" s="63"/>
    </row>
    <row r="1003">
      <c r="A1003" s="64"/>
      <c r="F1003" s="63"/>
      <c r="G1003" s="63"/>
      <c r="H1003" s="63"/>
    </row>
    <row r="1004">
      <c r="A1004" s="64"/>
      <c r="F1004" s="63"/>
      <c r="G1004" s="63"/>
      <c r="H1004" s="63"/>
    </row>
    <row r="1005">
      <c r="A1005" s="64"/>
      <c r="F1005" s="63"/>
      <c r="G1005" s="63"/>
      <c r="H1005" s="63"/>
    </row>
    <row r="1006">
      <c r="A1006" s="64"/>
      <c r="F1006" s="63"/>
      <c r="G1006" s="63"/>
      <c r="H1006" s="63"/>
    </row>
    <row r="1007">
      <c r="A1007" s="64"/>
      <c r="F1007" s="63"/>
      <c r="G1007" s="63"/>
      <c r="H1007" s="63"/>
    </row>
    <row r="1008">
      <c r="A1008" s="64"/>
      <c r="F1008" s="63"/>
      <c r="G1008" s="63"/>
      <c r="H1008" s="63"/>
    </row>
    <row r="1009">
      <c r="A1009" s="64"/>
      <c r="F1009" s="63"/>
      <c r="G1009" s="63"/>
      <c r="H1009" s="63"/>
    </row>
    <row r="1010">
      <c r="A1010" s="64"/>
      <c r="F1010" s="63"/>
      <c r="G1010" s="63"/>
      <c r="H1010" s="63"/>
    </row>
    <row r="1011">
      <c r="A1011" s="64"/>
      <c r="F1011" s="63"/>
      <c r="G1011" s="63"/>
      <c r="H1011" s="63"/>
    </row>
    <row r="1012">
      <c r="A1012" s="64"/>
      <c r="F1012" s="63"/>
      <c r="G1012" s="63"/>
      <c r="H1012" s="63"/>
    </row>
    <row r="1013">
      <c r="A1013" s="64"/>
      <c r="F1013" s="63"/>
      <c r="G1013" s="63"/>
      <c r="H1013" s="63"/>
    </row>
    <row r="1014">
      <c r="A1014" s="64"/>
      <c r="F1014" s="63"/>
      <c r="G1014" s="63"/>
      <c r="H1014" s="63"/>
    </row>
    <row r="1015">
      <c r="A1015" s="64"/>
      <c r="F1015" s="63"/>
      <c r="G1015" s="63"/>
      <c r="H1015" s="63"/>
    </row>
    <row r="1016">
      <c r="A1016" s="64"/>
      <c r="F1016" s="63"/>
      <c r="G1016" s="63"/>
      <c r="H1016" s="63"/>
    </row>
    <row r="1017">
      <c r="A1017" s="64"/>
      <c r="F1017" s="63"/>
      <c r="G1017" s="63"/>
      <c r="H1017" s="63"/>
    </row>
    <row r="1018">
      <c r="A1018" s="64"/>
      <c r="F1018" s="63"/>
      <c r="G1018" s="63"/>
      <c r="H1018" s="63"/>
    </row>
    <row r="1019">
      <c r="A1019" s="64"/>
      <c r="F1019" s="63"/>
      <c r="G1019" s="63"/>
      <c r="H1019" s="63"/>
    </row>
    <row r="1020">
      <c r="A1020" s="64"/>
      <c r="F1020" s="63"/>
      <c r="G1020" s="63"/>
      <c r="H1020" s="63"/>
    </row>
    <row r="1021">
      <c r="A1021" s="64"/>
      <c r="F1021" s="63"/>
      <c r="G1021" s="63"/>
      <c r="H1021" s="63"/>
    </row>
    <row r="1022">
      <c r="A1022" s="64"/>
      <c r="F1022" s="63"/>
      <c r="G1022" s="63"/>
      <c r="H1022" s="63"/>
    </row>
    <row r="1023">
      <c r="A1023" s="64"/>
      <c r="F1023" s="63"/>
      <c r="G1023" s="63"/>
      <c r="H1023" s="63"/>
    </row>
    <row r="1024">
      <c r="A1024" s="64"/>
      <c r="F1024" s="63"/>
      <c r="G1024" s="63"/>
      <c r="H1024" s="63"/>
    </row>
    <row r="1025">
      <c r="A1025" s="64"/>
      <c r="F1025" s="63"/>
      <c r="G1025" s="63"/>
      <c r="H1025" s="63"/>
    </row>
    <row r="1026">
      <c r="A1026" s="64"/>
      <c r="F1026" s="63"/>
      <c r="G1026" s="63"/>
      <c r="H1026" s="63"/>
    </row>
    <row r="1027">
      <c r="A1027" s="64"/>
      <c r="F1027" s="63"/>
      <c r="G1027" s="63"/>
      <c r="H1027" s="63"/>
    </row>
    <row r="1028">
      <c r="A1028" s="64"/>
      <c r="F1028" s="63"/>
      <c r="G1028" s="63"/>
      <c r="H1028" s="63"/>
    </row>
    <row r="1029">
      <c r="A1029" s="64"/>
      <c r="F1029" s="63"/>
      <c r="G1029" s="63"/>
      <c r="H1029" s="63"/>
    </row>
    <row r="1030">
      <c r="A1030" s="64"/>
      <c r="F1030" s="63"/>
      <c r="G1030" s="63"/>
      <c r="H1030" s="63"/>
    </row>
    <row r="1031">
      <c r="A1031" s="64"/>
      <c r="F1031" s="63"/>
      <c r="G1031" s="63"/>
      <c r="H1031" s="63"/>
    </row>
    <row r="1032">
      <c r="A1032" s="64"/>
      <c r="F1032" s="63"/>
      <c r="G1032" s="63"/>
      <c r="H1032" s="63"/>
    </row>
    <row r="1033">
      <c r="A1033" s="64"/>
      <c r="F1033" s="63"/>
      <c r="G1033" s="63"/>
      <c r="H1033" s="63"/>
    </row>
    <row r="1034">
      <c r="A1034" s="64"/>
      <c r="F1034" s="63"/>
      <c r="G1034" s="63"/>
      <c r="H1034" s="63"/>
    </row>
    <row r="1035">
      <c r="A1035" s="64"/>
      <c r="F1035" s="63"/>
      <c r="G1035" s="63"/>
      <c r="H1035" s="63"/>
    </row>
    <row r="1036">
      <c r="A1036" s="64"/>
      <c r="F1036" s="63"/>
      <c r="G1036" s="63"/>
      <c r="H1036" s="63"/>
    </row>
    <row r="1037">
      <c r="A1037" s="64"/>
      <c r="F1037" s="63"/>
      <c r="G1037" s="63"/>
      <c r="H1037" s="63"/>
    </row>
    <row r="1038">
      <c r="A1038" s="64"/>
      <c r="F1038" s="63"/>
      <c r="G1038" s="63"/>
      <c r="H1038" s="63"/>
    </row>
    <row r="1039">
      <c r="A1039" s="64"/>
      <c r="F1039" s="63"/>
      <c r="G1039" s="63"/>
      <c r="H1039" s="63"/>
    </row>
    <row r="1040">
      <c r="A1040" s="64"/>
      <c r="F1040" s="63"/>
      <c r="G1040" s="63"/>
      <c r="H1040" s="63"/>
    </row>
    <row r="1041">
      <c r="A1041" s="64"/>
      <c r="F1041" s="63"/>
      <c r="G1041" s="63"/>
      <c r="H1041" s="63"/>
    </row>
    <row r="1042">
      <c r="A1042" s="64"/>
      <c r="F1042" s="63"/>
      <c r="G1042" s="63"/>
      <c r="H1042" s="63"/>
    </row>
    <row r="1043">
      <c r="A1043" s="64"/>
      <c r="F1043" s="63"/>
      <c r="G1043" s="63"/>
      <c r="H1043" s="63"/>
    </row>
    <row r="1044">
      <c r="A1044" s="64"/>
      <c r="F1044" s="63"/>
      <c r="G1044" s="63"/>
      <c r="H1044" s="63"/>
    </row>
    <row r="1045">
      <c r="A1045" s="64"/>
      <c r="F1045" s="63"/>
      <c r="G1045" s="63"/>
      <c r="H1045" s="63"/>
    </row>
    <row r="1046">
      <c r="A1046" s="64"/>
      <c r="F1046" s="63"/>
      <c r="G1046" s="63"/>
      <c r="H1046" s="63"/>
    </row>
    <row r="1047">
      <c r="A1047" s="64"/>
      <c r="F1047" s="63"/>
      <c r="G1047" s="63"/>
      <c r="H1047" s="63"/>
    </row>
    <row r="1048">
      <c r="A1048" s="64"/>
      <c r="F1048" s="63"/>
      <c r="G1048" s="63"/>
      <c r="H1048" s="63"/>
    </row>
    <row r="1049">
      <c r="A1049" s="64"/>
      <c r="F1049" s="63"/>
      <c r="G1049" s="63"/>
      <c r="H1049" s="63"/>
    </row>
    <row r="1050">
      <c r="A1050" s="64"/>
      <c r="F1050" s="63"/>
      <c r="G1050" s="63"/>
      <c r="H1050" s="63"/>
    </row>
    <row r="1051">
      <c r="A1051" s="64"/>
      <c r="F1051" s="63"/>
      <c r="G1051" s="63"/>
      <c r="H1051" s="63"/>
    </row>
    <row r="1052">
      <c r="A1052" s="64"/>
      <c r="F1052" s="63"/>
      <c r="G1052" s="63"/>
      <c r="H1052" s="63"/>
    </row>
    <row r="1053">
      <c r="A1053" s="64"/>
      <c r="F1053" s="63"/>
      <c r="G1053" s="63"/>
      <c r="H1053" s="63"/>
    </row>
    <row r="1054">
      <c r="A1054" s="64"/>
      <c r="F1054" s="63"/>
      <c r="G1054" s="63"/>
      <c r="H1054" s="63"/>
    </row>
    <row r="1055">
      <c r="A1055" s="64"/>
      <c r="F1055" s="63"/>
      <c r="G1055" s="63"/>
      <c r="H1055" s="63"/>
    </row>
    <row r="1056">
      <c r="A1056" s="64"/>
      <c r="F1056" s="63"/>
      <c r="G1056" s="63"/>
      <c r="H1056" s="63"/>
    </row>
    <row r="1057">
      <c r="A1057" s="64"/>
      <c r="F1057" s="63"/>
      <c r="G1057" s="63"/>
      <c r="H1057" s="63"/>
    </row>
    <row r="1058">
      <c r="A1058" s="64"/>
      <c r="F1058" s="63"/>
      <c r="G1058" s="63"/>
      <c r="H1058" s="63"/>
    </row>
    <row r="1059">
      <c r="A1059" s="64"/>
      <c r="F1059" s="63"/>
      <c r="G1059" s="63"/>
      <c r="H1059" s="63"/>
    </row>
    <row r="1060">
      <c r="A1060" s="64"/>
      <c r="F1060" s="63"/>
      <c r="G1060" s="63"/>
      <c r="H1060" s="63"/>
    </row>
    <row r="1061">
      <c r="A1061" s="64"/>
      <c r="F1061" s="63"/>
      <c r="G1061" s="63"/>
      <c r="H1061" s="63"/>
    </row>
    <row r="1062">
      <c r="A1062" s="64"/>
      <c r="F1062" s="63"/>
      <c r="G1062" s="63"/>
      <c r="H1062" s="63"/>
    </row>
    <row r="1063">
      <c r="A1063" s="64"/>
      <c r="F1063" s="63"/>
      <c r="G1063" s="63"/>
      <c r="H1063" s="63"/>
    </row>
    <row r="1064">
      <c r="A1064" s="64"/>
      <c r="F1064" s="63"/>
      <c r="G1064" s="63"/>
      <c r="H1064" s="63"/>
    </row>
    <row r="1065">
      <c r="A1065" s="64"/>
      <c r="F1065" s="63"/>
      <c r="G1065" s="63"/>
      <c r="H1065" s="63"/>
    </row>
    <row r="1066">
      <c r="A1066" s="64"/>
      <c r="F1066" s="63"/>
      <c r="G1066" s="63"/>
      <c r="H1066" s="63"/>
    </row>
    <row r="1067">
      <c r="A1067" s="64"/>
      <c r="F1067" s="63"/>
      <c r="G1067" s="63"/>
      <c r="H1067" s="63"/>
    </row>
    <row r="1068">
      <c r="A1068" s="64"/>
      <c r="F1068" s="63"/>
      <c r="G1068" s="63"/>
      <c r="H1068" s="63"/>
    </row>
    <row r="1069">
      <c r="A1069" s="64"/>
      <c r="F1069" s="63"/>
      <c r="G1069" s="63"/>
      <c r="H1069" s="63"/>
    </row>
    <row r="1070">
      <c r="A1070" s="64"/>
      <c r="F1070" s="63"/>
      <c r="G1070" s="63"/>
      <c r="H1070" s="63"/>
    </row>
    <row r="1071">
      <c r="A1071" s="64"/>
      <c r="F1071" s="63"/>
      <c r="G1071" s="63"/>
      <c r="H1071" s="63"/>
    </row>
    <row r="1072">
      <c r="A1072" s="64"/>
      <c r="F1072" s="63"/>
      <c r="G1072" s="63"/>
      <c r="H1072" s="63"/>
    </row>
    <row r="1073">
      <c r="A1073" s="64"/>
      <c r="F1073" s="63"/>
      <c r="G1073" s="63"/>
      <c r="H1073" s="63"/>
    </row>
    <row r="1074">
      <c r="A1074" s="64"/>
      <c r="F1074" s="63"/>
      <c r="G1074" s="63"/>
      <c r="H1074" s="63"/>
    </row>
    <row r="1075">
      <c r="A1075" s="64"/>
      <c r="F1075" s="63"/>
      <c r="G1075" s="63"/>
      <c r="H1075" s="63"/>
    </row>
    <row r="1076">
      <c r="A1076" s="64"/>
      <c r="F1076" s="63"/>
      <c r="G1076" s="63"/>
      <c r="H1076" s="63"/>
    </row>
    <row r="1077">
      <c r="A1077" s="64"/>
      <c r="F1077" s="63"/>
      <c r="G1077" s="63"/>
      <c r="H1077" s="63"/>
    </row>
    <row r="1078">
      <c r="A1078" s="64"/>
      <c r="F1078" s="63"/>
      <c r="G1078" s="63"/>
      <c r="H1078" s="63"/>
    </row>
    <row r="1079">
      <c r="A1079" s="64"/>
      <c r="F1079" s="63"/>
      <c r="G1079" s="63"/>
      <c r="H1079" s="63"/>
    </row>
    <row r="1080">
      <c r="A1080" s="64"/>
      <c r="F1080" s="63"/>
      <c r="G1080" s="63"/>
      <c r="H1080" s="63"/>
    </row>
    <row r="1081">
      <c r="A1081" s="64"/>
      <c r="F1081" s="63"/>
      <c r="G1081" s="63"/>
      <c r="H1081" s="63"/>
    </row>
    <row r="1082">
      <c r="A1082" s="64"/>
      <c r="F1082" s="63"/>
      <c r="G1082" s="63"/>
      <c r="H1082" s="63"/>
    </row>
    <row r="1083">
      <c r="A1083" s="64"/>
      <c r="F1083" s="63"/>
      <c r="G1083" s="63"/>
      <c r="H1083" s="63"/>
    </row>
    <row r="1084">
      <c r="A1084" s="64"/>
      <c r="F1084" s="63"/>
      <c r="G1084" s="63"/>
      <c r="H1084" s="63"/>
    </row>
    <row r="1085">
      <c r="A1085" s="64"/>
      <c r="F1085" s="63"/>
      <c r="G1085" s="63"/>
      <c r="H1085" s="63"/>
    </row>
    <row r="1086">
      <c r="A1086" s="64"/>
      <c r="F1086" s="63"/>
      <c r="G1086" s="63"/>
      <c r="H1086" s="63"/>
    </row>
    <row r="1087">
      <c r="A1087" s="64"/>
      <c r="F1087" s="63"/>
      <c r="G1087" s="63"/>
      <c r="H1087" s="63"/>
    </row>
    <row r="1088">
      <c r="A1088" s="64"/>
      <c r="F1088" s="63"/>
      <c r="G1088" s="63"/>
      <c r="H1088" s="63"/>
    </row>
    <row r="1089">
      <c r="A1089" s="64"/>
      <c r="F1089" s="63"/>
      <c r="G1089" s="63"/>
      <c r="H1089" s="63"/>
    </row>
    <row r="1090">
      <c r="A1090" s="64"/>
      <c r="F1090" s="63"/>
      <c r="G1090" s="63"/>
      <c r="H1090" s="63"/>
    </row>
    <row r="1091">
      <c r="A1091" s="64"/>
      <c r="F1091" s="63"/>
      <c r="G1091" s="63"/>
      <c r="H1091" s="63"/>
    </row>
  </sheetData>
  <mergeCells count="26">
    <mergeCell ref="A1:H1"/>
    <mergeCell ref="A2:H2"/>
    <mergeCell ref="A4:A23"/>
    <mergeCell ref="B4:B23"/>
    <mergeCell ref="A24:A43"/>
    <mergeCell ref="B24:B43"/>
    <mergeCell ref="B44:B63"/>
    <mergeCell ref="A44:A63"/>
    <mergeCell ref="A64:A83"/>
    <mergeCell ref="B64:B83"/>
    <mergeCell ref="A84:A103"/>
    <mergeCell ref="B84:B103"/>
    <mergeCell ref="A104:A123"/>
    <mergeCell ref="B104:B123"/>
    <mergeCell ref="A184:A203"/>
    <mergeCell ref="A204:A224"/>
    <mergeCell ref="B204:B224"/>
    <mergeCell ref="A225:A249"/>
    <mergeCell ref="B225:B249"/>
    <mergeCell ref="A124:A143"/>
    <mergeCell ref="B124:B143"/>
    <mergeCell ref="A144:A163"/>
    <mergeCell ref="B144:B163"/>
    <mergeCell ref="A164:A183"/>
    <mergeCell ref="B164:B183"/>
    <mergeCell ref="B184:B203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