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APPLICANT MASTER DOC" sheetId="2" r:id="rId6"/>
    <sheet state="visible" name="VOLUNTEER MASTER DOC" sheetId="3" r:id="rId7"/>
    <sheet state="visible" name="WEEK 1 ASSIGNMENTS" sheetId="4" r:id="rId8"/>
    <sheet state="visible" name="WEEK 2 ASSIGNMENTS" sheetId="5" r:id="rId9"/>
  </sheets>
  <definedNames>
    <definedName hidden="1" localSheetId="0" name="_xlnm._FilterDatabase">'Form Responses 1'!$A$1:$AA$62</definedName>
  </definedNames>
  <calcPr/>
</workbook>
</file>

<file path=xl/sharedStrings.xml><?xml version="1.0" encoding="utf-8"?>
<sst xmlns="http://schemas.openxmlformats.org/spreadsheetml/2006/main" count="3344" uniqueCount="809">
  <si>
    <t>Timestamp</t>
  </si>
  <si>
    <t>Email Address</t>
  </si>
  <si>
    <t>First name</t>
  </si>
  <si>
    <t>Last Name</t>
  </si>
  <si>
    <t>Phone #:</t>
  </si>
  <si>
    <t>Age</t>
  </si>
  <si>
    <t>Shirt Size</t>
  </si>
  <si>
    <t>Current Grade</t>
  </si>
  <si>
    <t>School</t>
  </si>
  <si>
    <t>Check the dates you can teach:</t>
  </si>
  <si>
    <t>Why would you like to volunteer with Steel City Codes? (2-3 Sentences)</t>
  </si>
  <si>
    <t>Have you volunteered at a previous Steel City Codes activity?</t>
  </si>
  <si>
    <t>What CS languages do you know?</t>
  </si>
  <si>
    <t>Have you taken any computer science classes? If so, please list them.</t>
  </si>
  <si>
    <t xml:space="preserve">Please include any experiences you've had working with children or volunteering in a few bullet points. </t>
  </si>
  <si>
    <t>Please rank your skill level in Python:</t>
  </si>
  <si>
    <t>Please rank your skill level in Java:</t>
  </si>
  <si>
    <t>Please rank your skill level in HTML:</t>
  </si>
  <si>
    <t>Please rank your skill level in CSS:</t>
  </si>
  <si>
    <t>Please rank your skill level in JavaScript:</t>
  </si>
  <si>
    <t>Please rank your skill level in Microcontrollers/CircuitPython:</t>
  </si>
  <si>
    <t>What is your FIRST choice course to teach?</t>
  </si>
  <si>
    <t>What is your SECOND choice course to teach?</t>
  </si>
  <si>
    <t>What other curriculums would you be able to teach? You can respond with anything you are comfortable with (i.e. Game Development, Processing Graphics, Green Foot).</t>
  </si>
  <si>
    <t>Volunteer Confirmation</t>
  </si>
  <si>
    <t>Parent/Guardian Confirmation (if under 18)</t>
  </si>
  <si>
    <r>
      <t xml:space="preserve">Interview Registration Link: 
I </t>
    </r>
    <r>
      <rPr>
        <rFont val="Arial"/>
        <b/>
        <color theme="1"/>
      </rPr>
      <t>have</t>
    </r>
    <r>
      <rPr>
        <rFont val="Arial"/>
        <color theme="1"/>
      </rPr>
      <t xml:space="preserve"> signed up for an interview date.</t>
    </r>
  </si>
  <si>
    <t>areddy@cherrycreekschools.org</t>
  </si>
  <si>
    <t>Aarnav</t>
  </si>
  <si>
    <t>Reddy</t>
  </si>
  <si>
    <t>303-875-1376</t>
  </si>
  <si>
    <t>L</t>
  </si>
  <si>
    <t>10th</t>
  </si>
  <si>
    <t>Cherry Creek High School</t>
  </si>
  <si>
    <t>June 1st - June 5th, June 8th - June 12th</t>
  </si>
  <si>
    <t>I have already volunteered with steel city codes before and I think it is a very good experience because you learn valuable teaching skills. I also think I can improve my own programming knowledge by helping others learn.</t>
  </si>
  <si>
    <t>Yes</t>
  </si>
  <si>
    <t>Java</t>
  </si>
  <si>
    <t>Ap computer science principles, Ap computer science A</t>
  </si>
  <si>
    <t>I have volunteered in steel city codes before along with volunteering to teach kids martial arts.</t>
  </si>
  <si>
    <t>Intro Java</t>
  </si>
  <si>
    <t>Intermediate Java</t>
  </si>
  <si>
    <t>Aarnav Mahendra Reddy</t>
  </si>
  <si>
    <t>Mahendra Parvathareddy</t>
  </si>
  <si>
    <t>Yes, I confirm that I have signed up for a SignUpGenius interview slot.</t>
  </si>
  <si>
    <t>yuzechen2010@gmail.com</t>
  </si>
  <si>
    <t>Lucy</t>
  </si>
  <si>
    <t>Chen</t>
  </si>
  <si>
    <t>303-406-0010</t>
  </si>
  <si>
    <t>M</t>
  </si>
  <si>
    <t>I want to continue to contribute to a great community, facilitate genuine connections, and be able to help more kids learn about STEM.</t>
  </si>
  <si>
    <t>Java, HTML, CSS</t>
  </si>
  <si>
    <t>Yes, intro to computer science, as well as APCSP. I also self learned html and css.</t>
  </si>
  <si>
    <t>I'm a volunteer at Denver Chinese School, where I teach art to students. And I also occasionally teach music to underserved communities through the non-profit MUC(musicians united for change)</t>
  </si>
  <si>
    <t>Processing graphics</t>
  </si>
  <si>
    <t>Yuze Lucy Chen</t>
  </si>
  <si>
    <t>Zeying Fan</t>
  </si>
  <si>
    <t>junyigou@gmail.com</t>
  </si>
  <si>
    <t>Jessica</t>
  </si>
  <si>
    <t>Gou</t>
  </si>
  <si>
    <t>720-277-8586</t>
  </si>
  <si>
    <t>June 8th - June 12th</t>
  </si>
  <si>
    <t>I would like to volunteer at Steel City Codes because I enjoy coding and computer science and I want to help teach it to younger kids, and to contribute to the community. Also, volunteer hours are nice.</t>
  </si>
  <si>
    <t>No</t>
  </si>
  <si>
    <t>Java, Python</t>
  </si>
  <si>
    <t>Intro to Computer Science, AP Computer Science Principles, AP Computer Science A</t>
  </si>
  <si>
    <t>- I help teach my sister math
- I'm tutoring a kid in China with learning english
- I work at Kumon, so I help kids if they have any questions
- I've volunteered at Chinese New Year Festivals
- I've volunteered with preparing food for homeless people</t>
  </si>
  <si>
    <t>Processing Graphics</t>
  </si>
  <si>
    <t>Jessica Gou</t>
  </si>
  <si>
    <t>Ping Gou</t>
  </si>
  <si>
    <t>jhuang@cherrycreekschools.org</t>
  </si>
  <si>
    <t>Jasper</t>
  </si>
  <si>
    <t>Huang</t>
  </si>
  <si>
    <t>S</t>
  </si>
  <si>
    <t xml:space="preserve">I would like to join SCC because it is very fun. Coding is a great opportunity and hobby that deserves to be passed on to young people (tho you would probably call me such). </t>
  </si>
  <si>
    <t>AP CSA</t>
  </si>
  <si>
    <t>Math Counts (tutor at campus ms)
SCC (taught both weeks last year)</t>
  </si>
  <si>
    <t>Idk</t>
  </si>
  <si>
    <t>Jasper Huang</t>
  </si>
  <si>
    <t>Alan Huang</t>
  </si>
  <si>
    <t>arush.gudise@gmail.com</t>
  </si>
  <si>
    <t>Arush</t>
  </si>
  <si>
    <t>Gudise</t>
  </si>
  <si>
    <t>720-937-8764</t>
  </si>
  <si>
    <t>I want to volunteer with Steel City Codes as I enjoy helping others explore and grow in STEM related areas, especially computer science. I would like to share my knowledge of programming and would value this opportunity to do so by supporting the skills of young learners. Additionally, as someone planning to major in a field related to engineering/computer science, this experience would closely align with my academic goals, while strengthening my college applications due to volunteering hours.</t>
  </si>
  <si>
    <t>Intro To Computer Science
AP Computer Science Principals
AP Computer Science A</t>
  </si>
  <si>
    <t>I have previously volunteered with Youth Advisory Board for events such as Ethnic Fest and Pi Day, though I have little experience working with children.</t>
  </si>
  <si>
    <t>I might be able to teach Python, but I haven't coded in Python for a couple of years.</t>
  </si>
  <si>
    <t>Arush Gudise</t>
  </si>
  <si>
    <t>Chandra Gudise</t>
  </si>
  <si>
    <t>crossi5@cherrycreekschools.org</t>
  </si>
  <si>
    <t>Caleb</t>
  </si>
  <si>
    <t>Rossi</t>
  </si>
  <si>
    <t xml:space="preserve">I am very interested in computer science and I feel like this will help me with my interest, and I always found coding camps fun when I was little so a bit of nostalgia. I also don’t want to sit around like a bum during summer and do interesting and helpful things with friends so I’m signing up with my friends as well. </t>
  </si>
  <si>
    <t xml:space="preserve">Intro to CS, AP CS Principles, and AP Networking/Honors cyber security 1 at creek </t>
  </si>
  <si>
    <t xml:space="preserve">I work as an instructor at taekwondo so I deal with kids on a pretty consistent basis and I’ve been doing it since middle school. I also volunteer to help with the kids area in my church. </t>
  </si>
  <si>
    <t>Intro Python</t>
  </si>
  <si>
    <t xml:space="preserve">Probably not intermediate Java or Python since I haven’t been practicing it consistently anymore and especially not Python since I’m not super well versed but I can self study if needed. </t>
  </si>
  <si>
    <t xml:space="preserve">Caleb Rossi </t>
  </si>
  <si>
    <t xml:space="preserve">Matthew Rossi </t>
  </si>
  <si>
    <t>hacosta2@cherrycreekschools.org</t>
  </si>
  <si>
    <t>Henri</t>
  </si>
  <si>
    <t>Acosta</t>
  </si>
  <si>
    <t>303-408-2397</t>
  </si>
  <si>
    <t xml:space="preserve">I went there as a student back in my day, and i want to give back to the community that gave me a great learning and social experience. </t>
  </si>
  <si>
    <t>- did SCC last year for one week
- volunteered at The Belleview over the course of a month or so; helped with organizing and serving food at events and talked with elderly</t>
  </si>
  <si>
    <t>Intermediate Python</t>
  </si>
  <si>
    <t>Henri Acosta</t>
  </si>
  <si>
    <t>Tessa Mandler-Acosta</t>
  </si>
  <si>
    <t>emily.yangz55@gmail.com</t>
  </si>
  <si>
    <t>Emily</t>
  </si>
  <si>
    <t>Yang</t>
  </si>
  <si>
    <t>978-242-2455</t>
  </si>
  <si>
    <t xml:space="preserve">Having previously volunteered with Steel City Codes both at Koelbel library and at Cherry Creek Academy, I would love to continue my passion for both computer science and teaching. Technology is clearly the future of the world and it would be amazing for me to be able to take part in teaching future generation the basics of computer technology. </t>
  </si>
  <si>
    <t>Java, Python, HTML, CSS, Javascript</t>
  </si>
  <si>
    <t>AP Computer Science Principles
AP Computer Science A</t>
  </si>
  <si>
    <t>Tutoring at Kumon teaching math and English
Volunteering at a library teaching reading 
Volunteering at a Chinese school teaching Chinese and Geometry
Business club for middle schoolers through FBLA
Teaching business to elementary schoolers through FBLA</t>
  </si>
  <si>
    <t>Game Development, Intermediate Java</t>
  </si>
  <si>
    <t>Emily Yang</t>
  </si>
  <si>
    <t>Xiaopeng Yang</t>
  </si>
  <si>
    <t>nroberts15@cherrycreekschools.org</t>
  </si>
  <si>
    <t>Nicholas</t>
  </si>
  <si>
    <t xml:space="preserve">Roberts </t>
  </si>
  <si>
    <t>8th grade, I attended Steel City Codes as a student and the next year I taught as a volunteer. Both experiences were super fun and its a great way to expand my coding skills. Would love to teach here again this summer.</t>
  </si>
  <si>
    <t>Intro to compsi, ap csp, and cyber 1 (this year).</t>
  </si>
  <si>
    <t>In addition to teaching at Steel City Codes, I am a lifeguard and I oversee a kid’s summer camp every summer at Club Greeenwood.  I’ve also volunteered at animal shelters and Denver Rescue Mission.</t>
  </si>
  <si>
    <t xml:space="preserve">I would probably also be able to teach intermediate java and pythons but I would have to do a bit of remembering </t>
  </si>
  <si>
    <t>Nicholas Roberts</t>
  </si>
  <si>
    <t xml:space="preserve">Jennifer Roberts </t>
  </si>
  <si>
    <t>tkuriyal@cherrycreekschools.org</t>
  </si>
  <si>
    <t>Trisha</t>
  </si>
  <si>
    <t>Kuriyal</t>
  </si>
  <si>
    <t>June 1st - June 5th</t>
  </si>
  <si>
    <t>Steel City Codes provides a great opportunity to allow kids to learn Computer Science free of charge, and I really appreciate and wish to work with this organisation, as one of my core beliefs is giving back to the community that has done so much for me already. I also am interested in taking up Computer Science, so this is a great opportunity to share my knowledge and also learn more about Computer Science through other peers.</t>
  </si>
  <si>
    <t>Java, Python, HTML</t>
  </si>
  <si>
    <t>Yes,
AP Computer Science A
Data Structures/Algorithms
Artificial Intelligence/Machine Learning</t>
  </si>
  <si>
    <t>&gt; volunteered by teaching and grading at a tutoring centre designed for multiple children from different backgrounds to learn english and/or mathematics at the same time
&gt; have babysat multiple children of all ages and even helped them with homework/school work</t>
  </si>
  <si>
    <t>Intro Python, Game Development</t>
  </si>
  <si>
    <t>Trisha Kuriyal</t>
  </si>
  <si>
    <t>Ashish Kuriyal</t>
  </si>
  <si>
    <t>rninganola@cherrycreekschools.org</t>
  </si>
  <si>
    <t xml:space="preserve">Rithvik </t>
  </si>
  <si>
    <t xml:space="preserve">Ninganola </t>
  </si>
  <si>
    <t>720-978-7378</t>
  </si>
  <si>
    <t>Grandview High School</t>
  </si>
  <si>
    <t>I would like to volunteer with Steel City Codes for two main reasons. Firstly, to spread the knowledge I have learned over the course of my life to enrich younger students with important skills for the future. I also want to gain experience with teaching skills in general.</t>
  </si>
  <si>
    <t>AP Computer Science Principles, AP Computer Science A</t>
  </si>
  <si>
    <t>I volunteered for many robotics competitions while also worked with children when coaching a robotics team this year.</t>
  </si>
  <si>
    <t xml:space="preserve">I am able to teach Python courses and would also be interested in possibly teaching web development </t>
  </si>
  <si>
    <t>Rithvik Ninganola</t>
  </si>
  <si>
    <t xml:space="preserve">Rajesh Ninganola </t>
  </si>
  <si>
    <t>niels.novotny@gmail.com</t>
  </si>
  <si>
    <t>Niels</t>
  </si>
  <si>
    <t>Novotny</t>
  </si>
  <si>
    <t>720-767-8536</t>
  </si>
  <si>
    <t>I love coding, and I had a lot of fun learning how to code as a kid because of my great teachers. I'm excited for the opportunity to give back to the community in this way.</t>
  </si>
  <si>
    <t>Java, Python, HTML, CSS, Javascript, CircuitPython</t>
  </si>
  <si>
    <t>AP Computer Science A, Data Structures, AI and Machine Learning. I've done first robotics for 4 years. I did a robotics with microcontrollers camp at UT Austin. I completed at Lockheed Martin Codequest, where I got 3rd place. I also complete in USACO, and I've taken courses on USACO bronze and silver. I initially learned to code on the Juni Learning courses.</t>
  </si>
  <si>
    <t>I volunteered at the Creek orchestra camp and helped new, younger, players develop their skills on the cello.
I have coached new robotics team members on my robotics team for years. I teach them how to code in Java and CAD.
I worked as an (unpaid) intern at CSU Spur and I used microcontrollers to power hydroponics, controlled environment agriculture, and a computer vision system for plant stress detection. The computer vision system for plant stress detection qualified me for the International Science and Engineering Fair.</t>
  </si>
  <si>
    <t>Microcontroller</t>
  </si>
  <si>
    <t>I could teach CAD if there's a course for that. I'd also have a lot of experience for any curriculum with microcontrollers.</t>
  </si>
  <si>
    <t>Niels Novotny</t>
  </si>
  <si>
    <t>Sonia Novotny</t>
  </si>
  <si>
    <t>amitev@cherrycreekschools.org</t>
  </si>
  <si>
    <t>Alexander</t>
  </si>
  <si>
    <t>Mitev</t>
  </si>
  <si>
    <t>720-227-0699</t>
  </si>
  <si>
    <t>I would like to volunteer with Steel City Codes because the organization has been above and beyond, and it would be an exciting opportunity to be a part of it for a second time. Last summer, as a first-year volunteer, it was memorable. I enjoyed every minute of it while improving my social and teaching skills. I'm looking forward to becoming a computer scientist/software engineer in the future. Participating in SCC will enable me to gain the hours and experience to excel in my career and have a bright future ahead.</t>
  </si>
  <si>
    <t>Yes, I have taken two computer science classes:
- AP Computer Science Principles
- AP Computer Science A</t>
  </si>
  <si>
    <t>An experience I have had working with children/volunteering was summer of 2025, when I participated in SCC for two weeks as a volunteer.</t>
  </si>
  <si>
    <t>Two other curriculums I would be able to teach are Intro to Python and Intermediate Python.</t>
  </si>
  <si>
    <t>Alexander Mitev</t>
  </si>
  <si>
    <t>Ognian Mitev</t>
  </si>
  <si>
    <t>jchhabra@cherrycreekschools.org</t>
  </si>
  <si>
    <t>Jayden</t>
  </si>
  <si>
    <t>Chhabra</t>
  </si>
  <si>
    <t>720-257-2723</t>
  </si>
  <si>
    <t xml:space="preserve">I have a keen interest in coding and web development and look forward to the opportunity to work with kids who have similar interests. I have also always enjoyed being a mentor or "big buddy" to younger kids who appreciate working with an older peer. </t>
  </si>
  <si>
    <t>In AP CS Principles I am learning Processing. I have learned a beginner level of Java and HTML.</t>
  </si>
  <si>
    <t>AP CS Principles, Intro to CS</t>
  </si>
  <si>
    <t>I have been volunteering at the Denver Museum of Nature &amp; Science for over a year.</t>
  </si>
  <si>
    <t>Processing</t>
  </si>
  <si>
    <t>Jayden Chhabra</t>
  </si>
  <si>
    <t>Anita Mehta</t>
  </si>
  <si>
    <t>agupta12@cherrycreekschools.org</t>
  </si>
  <si>
    <t>Ananya</t>
  </si>
  <si>
    <t>Gupta</t>
  </si>
  <si>
    <t>720-651-2679</t>
  </si>
  <si>
    <t>I would like to use my skills and knowledge in computer science and Java to help teach others and ensure that they feel successful and prepared. I would also like to promote their talent, skills, and passion for computer science.</t>
  </si>
  <si>
    <t>Introduction to Computer Science, AP Computer Science Principles, AP Computer Science A</t>
  </si>
  <si>
    <t xml:space="preserve"> - I interned at my community swim team coaching children to do competitive swimming and
basic strokes
 - I volunteer at the Children's Hospital of Colorado</t>
  </si>
  <si>
    <t>Ananya Gupta</t>
  </si>
  <si>
    <t>Sachin Gupta</t>
  </si>
  <si>
    <t>gabyrv0428@gmail.com</t>
  </si>
  <si>
    <t>Gabriela</t>
  </si>
  <si>
    <t>Rivera</t>
  </si>
  <si>
    <t>720-343-0214</t>
  </si>
  <si>
    <t>XS</t>
  </si>
  <si>
    <t xml:space="preserve">I want to learn more about coding. I also would enjoy the experience of learning and teaching </t>
  </si>
  <si>
    <t xml:space="preserve">Intro to computer science,AP computer science principles, robotics and automated systems </t>
  </si>
  <si>
    <t>When i used to play volleyball i usually helped teaching little kids</t>
  </si>
  <si>
    <t xml:space="preserve">Gabriela Rivera </t>
  </si>
  <si>
    <t>Alberto Rivera</t>
  </si>
  <si>
    <t>rcastellanosram@gmail.com</t>
  </si>
  <si>
    <t>Romina</t>
  </si>
  <si>
    <t>Castellanos</t>
  </si>
  <si>
    <t>I would like to volunteer at steel city codes because i want to get this opportunity to teach kids how to learn coding and to help them during this summer camp.</t>
  </si>
  <si>
    <t xml:space="preserve">Into to computer science, computer science principles </t>
  </si>
  <si>
    <t>- coaching kids in soccer
- volunteered at a food drive</t>
  </si>
  <si>
    <t xml:space="preserve">Romina Castellanos </t>
  </si>
  <si>
    <t xml:space="preserve">Sandra Ramirez </t>
  </si>
  <si>
    <t>avamarchiel@gmail.com</t>
  </si>
  <si>
    <t>Ava</t>
  </si>
  <si>
    <t>Marchiel</t>
  </si>
  <si>
    <t>925-259-7767</t>
  </si>
  <si>
    <t>I am passionate about coding and programming, and often wish that I had started earlier. I am interested in volunteering because I would like to show others who are younger than me how fun and interesting coding can be, and enjoy helping and teaching others. I have previously volunteered at a similar organization, Camp Code For Girls, and am excited to be able to volunteer more :)</t>
  </si>
  <si>
    <t>Python, Processing</t>
  </si>
  <si>
    <t>Intro to Computer Science, AP Computer Science Principles, AP Networking</t>
  </si>
  <si>
    <t>I have volunteered as a camp counselor at a camp at the Orinda Nature Area in California, I have been a counselor at Camp Code For Girls, and I have been a math tutor at my old middle school</t>
  </si>
  <si>
    <t>Ava Marchiel</t>
  </si>
  <si>
    <t>Marc Marchiel</t>
  </si>
  <si>
    <t>kaidenbiggins4@gmail.com</t>
  </si>
  <si>
    <t>Kaiden</t>
  </si>
  <si>
    <t>Biggins</t>
  </si>
  <si>
    <t>720-312-6583</t>
  </si>
  <si>
    <t>I enjoy coding and would enjoying teaching others java and all coding offers. I am also working to build my collage resume.</t>
  </si>
  <si>
    <t>AP Computer Science Principals and AP Computer Science A</t>
  </si>
  <si>
    <t>Did volunteering with Civil Air Patrol which included a variety of things including cleaning streets, helping run events, and helping with a good drive.</t>
  </si>
  <si>
    <t>Kaiden Biggins</t>
  </si>
  <si>
    <t>Sonya Larocque</t>
  </si>
  <si>
    <t>tzhang3@cherrycreekschools.org</t>
  </si>
  <si>
    <t>Terry</t>
  </si>
  <si>
    <t>Zhang</t>
  </si>
  <si>
    <t>I enjoy both teaching and programming. I have good experience with both and thought it was a cool and unique opportunity to develop both skills.</t>
  </si>
  <si>
    <t>Java, Python, c++ (not applicable I believe)</t>
  </si>
  <si>
    <t>I teach other kids how to program in the school robotics team. 
I once worked with younger kids at a summer basketball camp.
I volunteered with my school orchestra to mentor lower level students on violin.</t>
  </si>
  <si>
    <t>Any python courses</t>
  </si>
  <si>
    <t>Lin</t>
  </si>
  <si>
    <t>mpakanati@cherrycreekschools.org</t>
  </si>
  <si>
    <t>Mahavira</t>
  </si>
  <si>
    <t>Pakanati</t>
  </si>
  <si>
    <t>720-409-0181</t>
  </si>
  <si>
    <t>I’d like to volunteer with Steel City Codes because I’m passionate about expanding access to computer science education and helping younger students discover their interest in STEM. I enjoy teaching and want to give back by making coding more approachable and fun for beginners. Volunteering with your organization is a meaningful way to support my community while growing as a mentor and leader.</t>
  </si>
  <si>
    <t>Java, Python, CircuitPython</t>
  </si>
  <si>
    <t>AP CSP AP CSA</t>
  </si>
  <si>
    <t xml:space="preserve">Previously volunteered with Steel City Codes as an instructor, helping students learn foundational programming concepts.
Tutored students one‑on‑one in various subjects, gaining experience explaining material clearly and adapting to different learning styles.
Worked with younger learners in structured and informal settings, building patience, communication skills, and comfort leading educational activities.
</t>
  </si>
  <si>
    <t>Intro Java and intermediate java</t>
  </si>
  <si>
    <t>Mahavira Pakanati</t>
  </si>
  <si>
    <t>Shailaja Pakanati</t>
  </si>
  <si>
    <t>eli3@cherrycreekschools.org</t>
  </si>
  <si>
    <t>Estella</t>
  </si>
  <si>
    <t>Li</t>
  </si>
  <si>
    <t>720-812-6422</t>
  </si>
  <si>
    <t>I would like to volunteer at Steel City Codes because I am passionate about building meaningful connections with people and sharing knowledge with students. This program gives me the opportunity to engage with the community, meet new people, and support and inspire talented minds. Through my enthusiasm for both learning and teaching, I hope to make meaningful contributions that leave a positive and lasting impact on the participants.</t>
  </si>
  <si>
    <t>Intro to Computer Science, AP CSA</t>
  </si>
  <si>
    <t>- I hosted my own summer tutoring camp in 2025, where I taught numerous middle schoolers advanced mathematics and science.
- I serve as an assistant teacher on my dance team, where I help young kids with choreography and technique.
- Through FBLA at my school, I've volunteered at Greenwood Village Elementary and taught business concepts to students.
- I serve on the student council at my Chinese school, which allows me to consistently interact with all age demographics, from young students to parents.</t>
  </si>
  <si>
    <t>Estella Li</t>
  </si>
  <si>
    <t>Qiang Li</t>
  </si>
  <si>
    <t>hectorjr0102@gmail.com</t>
  </si>
  <si>
    <t>Hector</t>
  </si>
  <si>
    <t xml:space="preserve">Valdez Ortiz </t>
  </si>
  <si>
    <t>720-397-8017</t>
  </si>
  <si>
    <t>I would like to volunteer with Steel City Codes to gain experience in teaching students and to grow my teaching skills. I do run a club at Grandview High School where I teach mathematics and art in relation to graphing calculators. By gaining teaching experience here, I can apply this at my own club in the future.</t>
  </si>
  <si>
    <t>AP Computer science principles
AP computer science A</t>
  </si>
  <si>
    <t>I have worked with children at Grandview High School at the Desmos club. I have two years teaching students about math and its relation to art in the 2D/3D Desmos Graphing Calculators. I also have one year teaching students about SAT Demsos Hacks.
I have 30 volunteering hours from NJHS at Falcon Creek. These hours included me setting up events at my middle school, making cotton candy with kids, and giving out food at my local church.</t>
  </si>
  <si>
    <t xml:space="preserve">C++ in relation to Arduino. </t>
  </si>
  <si>
    <t xml:space="preserve">Hector Valdez Ortiz </t>
  </si>
  <si>
    <t>Hector Valdez</t>
  </si>
  <si>
    <t>ajdeppers@gmail.com</t>
  </si>
  <si>
    <t xml:space="preserve">Andrew </t>
  </si>
  <si>
    <t xml:space="preserve">Depperschmidt </t>
  </si>
  <si>
    <t>720-703-0880</t>
  </si>
  <si>
    <t xml:space="preserve">I learned programming through Steel City Codes, and I want to be able to give back to the community that gave so much to me. I really enjoy mentoring younger people and want to foster love of CS and engineering in younger kids. </t>
  </si>
  <si>
    <t>APCSA
APCSP
Advanced Robotics</t>
  </si>
  <si>
    <t xml:space="preserve">* I have worked with all of my younger sisters and helped them with homework
* In middle school I worked with grades ~4 years younger than me to tutor reading and math. </t>
  </si>
  <si>
    <t>Intro Java and python, microcontrollers (I would have to review a little )</t>
  </si>
  <si>
    <t xml:space="preserve">AJ Depperschmidt </t>
  </si>
  <si>
    <t xml:space="preserve">Sara Depperschmidt </t>
  </si>
  <si>
    <t>esun@cherrycreekschools.org</t>
  </si>
  <si>
    <t>Evan</t>
  </si>
  <si>
    <t>Sun</t>
  </si>
  <si>
    <t>720-236-3511</t>
  </si>
  <si>
    <t>I would like to volunteer with Steel City Codes to spread my passion for computer science to others around me. I've always enjoyed coding as it introduces logical thinking and problem solving that is essential in almost every environment and I think that teaching this type of thought process is super important. Due to my experiences, I have also found computer science to be a very fun endeavor and yet another reason for spreading computer science to others.</t>
  </si>
  <si>
    <t>I've taken AP CSA, Data Structures and Algorithms, and AI and Machine Learning.</t>
  </si>
  <si>
    <t>I've volunteered to teach sports to kids, taught a variety of math classes to children, and taught chess. I've also volunteered for various events such as performance shows for the elderly.</t>
  </si>
  <si>
    <t>I could teach Intro Python, and maybe Intermediate Python if given curriculum to review.</t>
  </si>
  <si>
    <t>Evan Sun</t>
  </si>
  <si>
    <t>Wenhua Ren</t>
  </si>
  <si>
    <t>ariun4040@gmail.com</t>
  </si>
  <si>
    <t>Ariuka</t>
  </si>
  <si>
    <t>Bayasgalan</t>
  </si>
  <si>
    <t>Georgia Tech</t>
  </si>
  <si>
    <t>Ever since my freshmen year of HS, I have volunteered at various coding camps veered towards elementary and middle schoolers. It was actually through a coding camp that I got into CS. I would love to bring that to other kids!</t>
  </si>
  <si>
    <t>A lot (I am a 2nd year in my BS in Computer Science at Georgia Tech)
AP CSA
DSA
Computer Organization
Computer networks
Database management 
Systems programming</t>
  </si>
  <si>
    <t>2+ years at SCC
1 year at DTC computer science camps as a instructor and curriculum designer</t>
  </si>
  <si>
    <t>Intro to Python and java</t>
  </si>
  <si>
    <t>Ariun Bayasgalan</t>
  </si>
  <si>
    <t>N/A</t>
  </si>
  <si>
    <t>ermeybyambaragchaa@gmail.com</t>
  </si>
  <si>
    <t>Ermuun</t>
  </si>
  <si>
    <t>Byambaragchaa</t>
  </si>
  <si>
    <t>720-825-4636</t>
  </si>
  <si>
    <t>This is my second year doing Steel City Codes and the experience I had last year, not only teaching kids but the community was amazing. I want to join Steel City Codes because I want to see the younger generation fall in love with coding the same way I did when I was younger.</t>
  </si>
  <si>
    <t>Assistant teacher at Mongolian School of Colorado, previous Steel City Codes, Steam-a-palooza at CCIC</t>
  </si>
  <si>
    <t>Game Development</t>
  </si>
  <si>
    <t>Ermuun Byambaragcaa</t>
  </si>
  <si>
    <t>Khulan Amarsanaa</t>
  </si>
  <si>
    <t>xzhang@cherrycreekschools.org</t>
  </si>
  <si>
    <t>xuanyu</t>
  </si>
  <si>
    <t>zhang</t>
  </si>
  <si>
    <t>I have always been passionate about programming and teaching them to others. i also really love kids, so teaching them at steel city codes is something i find rewarding to both myself and the kids i will be teaching</t>
  </si>
  <si>
    <t>intro to cs and ap csp</t>
  </si>
  <si>
    <t>i volunteer at denver rescue mission and volunteer to teach violin to kids at chinese school</t>
  </si>
  <si>
    <t>Xuanyu Zhang</t>
  </si>
  <si>
    <t>junfang niu</t>
  </si>
  <si>
    <t>melysha.ye@gmail.com</t>
  </si>
  <si>
    <t>Melissa</t>
  </si>
  <si>
    <t>Ye</t>
  </si>
  <si>
    <t>720-800-3010</t>
  </si>
  <si>
    <t>11th</t>
  </si>
  <si>
    <t xml:space="preserve">I would like to volunteer at steel city codes because I want to major in computer science in college. I also think it’s fun to work with children and teaching other people makes me feel accomplished. </t>
  </si>
  <si>
    <t>Java, Processing</t>
  </si>
  <si>
    <t>intro to computer science, ap computer science principles, ap computer science a</t>
  </si>
  <si>
    <t>- babysitting
- homework tutoring
- volunteer for first day of school orientation day 
- volunteer at food banks
- volunteer at Denver rescue mission
- volunteer at retirement homes
etc</t>
  </si>
  <si>
    <t>Melissa Ye</t>
  </si>
  <si>
    <t>Lei Ye</t>
  </si>
  <si>
    <t>bebita_me@yahoo.com</t>
  </si>
  <si>
    <t>Amaru</t>
  </si>
  <si>
    <t>Kollar</t>
  </si>
  <si>
    <t>I would love to share my passion for computers with other children. 
I enjoy working with others and volunteering my time to teach is a way to do this and give back to the community.</t>
  </si>
  <si>
    <t>Java, I could teach a little bit of Python or be an assistant instructor</t>
  </si>
  <si>
    <t>AP computer science principles; Introduction to computer science; AP Computer Science</t>
  </si>
  <si>
    <t xml:space="preserve">I am a math instructor at mathnasium, I teach math to children at all levels.
I am a French , Spanish and English volunteer instructor for Latinos Unidos
</t>
  </si>
  <si>
    <t>Amaru Kollar</t>
  </si>
  <si>
    <t>Vanessa Aragon</t>
  </si>
  <si>
    <t>2shah2t@gmail.com</t>
  </si>
  <si>
    <t>Tanay</t>
  </si>
  <si>
    <t>Shah</t>
  </si>
  <si>
    <t xml:space="preserve">I'm a Denver regional manager </t>
  </si>
  <si>
    <t>Apcsa apcsp</t>
  </si>
  <si>
    <t>Scc</t>
  </si>
  <si>
    <t>Scc Admin</t>
  </si>
  <si>
    <t>Tanay Shah</t>
  </si>
  <si>
    <t>TANAY shah</t>
  </si>
  <si>
    <t>No, but I will email a regional director for help!</t>
  </si>
  <si>
    <t>haanie09@icloud.com</t>
  </si>
  <si>
    <t>Haanie</t>
  </si>
  <si>
    <t>Mohammed</t>
  </si>
  <si>
    <t>(720) 655-4293</t>
  </si>
  <si>
    <t>I love teaching kids how to code. I’ve done it for two years. I love it.</t>
  </si>
  <si>
    <t xml:space="preserve">Java, Python, HTML, CSS, Javascript, CircuitPython, </t>
  </si>
  <si>
    <t>APCSA, APCSP</t>
  </si>
  <si>
    <t>Steel City Codes volunteer 2 years</t>
  </si>
  <si>
    <t>Noorie</t>
  </si>
  <si>
    <t>abayasgalan2@cherrycreekschools.org</t>
  </si>
  <si>
    <t>Ariuntuya</t>
  </si>
  <si>
    <t>720-900-8109</t>
  </si>
  <si>
    <t>I want to volunteer with Steel City Codes because I want to help make coding more accessible, especially for historically disadvantaged groups. I believe teaching kids how to code is a great way to improve their problem-solving abilities and opens many future opportunities for them.</t>
  </si>
  <si>
    <t>Java, Python, My python knowledge isn't that big, I learned by going through the SCC Intro to Python slides.</t>
  </si>
  <si>
    <t>- Used to babysit for ~2 hours during the summer for 2 years
- Volunteered with SCC last summer
- Teaching at (+ running) the SCC Koelbel Library chapter this year
- Teaching at the SCC CCA chapter this year</t>
  </si>
  <si>
    <t>Intro to Python</t>
  </si>
  <si>
    <t>Ariuntuya Bayasgalan</t>
  </si>
  <si>
    <t>Odonchimeg Bayaraa</t>
  </si>
  <si>
    <t>gupta9aryan@gmail.com</t>
  </si>
  <si>
    <t>Aryan</t>
  </si>
  <si>
    <t>I want to volunteer with SCC because I love teaching and helping spread knowledge and passion for coding. I volunteered at the summer camp last year and throughout this school year have been volunteering with SCC every week. Also many of my friends do this too, so its a great opportunity for me to meet them in summer.</t>
  </si>
  <si>
    <t>Intro to CS, APCSP, AP Networking &amp; AP Cybersecurity (both pilot courses)</t>
  </si>
  <si>
    <t>I volunteered at this summer camp last year.
I've worked with my young cousins a lot.
I volunteer at CCA &amp; Koelbel library weekly (with SCC)</t>
  </si>
  <si>
    <t>I am able to teachBoth intermediate Java and Python (taught in last year's summer camp), but I do prefer the intro classes.</t>
  </si>
  <si>
    <t>Aryan Gupta</t>
  </si>
  <si>
    <t>Ashok Gupta</t>
  </si>
  <si>
    <t>ruhan028@yahoo.com</t>
  </si>
  <si>
    <t>Ruhan</t>
  </si>
  <si>
    <t>Sharma</t>
  </si>
  <si>
    <t>XL</t>
  </si>
  <si>
    <t>I would like to volunteer at Steel City Codes in order to deepen my skills in trying to teach people and managing a class as a whole, as it will help my journeys in teaching programming and managing the robotics team, as a potential future team captain. In addition, I think working with little kids is kinda fun, working step by step to get to the deeper meaning of problems and how we can get there with as much understanding as possible.</t>
  </si>
  <si>
    <t>AP CSA, Cybersecurity 1 Honors, Intro to CS, AP CSP</t>
  </si>
  <si>
    <t>I have numerous volunteering hours volunteering at robotics competitions, particularly FIRST Lego League, which is mainly geared towards children, in addition to doing outreach for our robotics teams, showing off our robot to kids in general. I've worked at a summer reading table in which I introduce the summer reading options at our local library to kids of all ages, which also includes volunteering.</t>
  </si>
  <si>
    <t>Rudimentary Computer Vision, 3D Design and CAD (Onshape, solidworks),  and specifically for 8th graders going into high school, I could also teach some FRC/Robotics programming if they are interested in joining an FRC team</t>
  </si>
  <si>
    <t>Ruhan Sharma</t>
  </si>
  <si>
    <t>Chhaya Sharma</t>
  </si>
  <si>
    <t>kaviyaviswanathan21@gmail.com</t>
  </si>
  <si>
    <t>kaviya</t>
  </si>
  <si>
    <t xml:space="preserve">viswanathan </t>
  </si>
  <si>
    <t>720-701-1698</t>
  </si>
  <si>
    <t>I would like to get more volunteer hours and start getting more experience in any way I can because I want to do something computer science related in college.</t>
  </si>
  <si>
    <t>Python</t>
  </si>
  <si>
    <t>AP CSP</t>
  </si>
  <si>
    <t xml:space="preserve">- library volunteering </t>
  </si>
  <si>
    <t>graphics in python</t>
  </si>
  <si>
    <t>Kaviya Viswanathan</t>
  </si>
  <si>
    <t>Kanimozhi Jeyakumar</t>
  </si>
  <si>
    <t>kwchang1616@gmail.com</t>
  </si>
  <si>
    <t>Kelly</t>
  </si>
  <si>
    <t>Chang</t>
  </si>
  <si>
    <t>720-483-7934</t>
  </si>
  <si>
    <t>I believe that Steel City Codes can truly make a lasting impact on the community. Especially in my experience as a Chapter Head this year for the Smoky Hill Library chapter and last year as a summer volunteer, I've gotten the chance to see how rewarding the work that SCC does can be. This organization helps inspire kids and helps them explore new skills, which is something I would love to be a part of.</t>
  </si>
  <si>
    <t>Java, Python, HTML, CSS</t>
  </si>
  <si>
    <t>Introduction to Computer Programming, AP Computer Science Principles, AP Computer Science A</t>
  </si>
  <si>
    <t>- I volunteer frequently around local elementary schools at their events
- I am also a regular emergency room volunteer where I often interact with pediatric patients</t>
  </si>
  <si>
    <t>Kelly Chang</t>
  </si>
  <si>
    <t>Mike Chang</t>
  </si>
  <si>
    <t>elynorsykes@gmail.com</t>
  </si>
  <si>
    <t>Elynor</t>
  </si>
  <si>
    <t>Sykes</t>
  </si>
  <si>
    <t>720-808-2838</t>
  </si>
  <si>
    <t>12th</t>
  </si>
  <si>
    <t xml:space="preserve">I love working with kids. </t>
  </si>
  <si>
    <t>Intro, APCSP, APCSA, Intro to Data Structures, AI/ML, Cybersecurity II</t>
  </si>
  <si>
    <t>Web Development</t>
  </si>
  <si>
    <t>Cybersecurity</t>
  </si>
  <si>
    <t>Elynor Sykes</t>
  </si>
  <si>
    <t>Todd Sykes</t>
  </si>
  <si>
    <t>ksrivastava@cherrycreekschools.org</t>
  </si>
  <si>
    <t>Kabir</t>
  </si>
  <si>
    <t>Srivastava</t>
  </si>
  <si>
    <t>I love coding! Can’t wait to help the future generations!</t>
  </si>
  <si>
    <t>Python, CircuitPython</t>
  </si>
  <si>
    <t>Ap csp</t>
  </si>
  <si>
    <t>Scc and taught mad science camps</t>
  </si>
  <si>
    <t>Kabir Srivastava</t>
  </si>
  <si>
    <t xml:space="preserve">Nidhi Srivastava </t>
  </si>
  <si>
    <t>elowyngale@gmail.com</t>
  </si>
  <si>
    <t>Wini</t>
  </si>
  <si>
    <t>Gale</t>
  </si>
  <si>
    <t>720 665 3798</t>
  </si>
  <si>
    <t>Because we da real art</t>
  </si>
  <si>
    <t>yas</t>
  </si>
  <si>
    <t>i do dis a lot</t>
  </si>
  <si>
    <t>ye</t>
  </si>
  <si>
    <t>Elowyn Gale</t>
  </si>
  <si>
    <t>Kirk Gale</t>
  </si>
  <si>
    <t>anishkasinha@gmail.com</t>
  </si>
  <si>
    <t>Anishka</t>
  </si>
  <si>
    <t>Sinha</t>
  </si>
  <si>
    <t>Learning to code was a very transformative experience for me, it opened the door to the realm of computer science. I'd like to give back and spread interest in computer science, the same way I gained so much from it.</t>
  </si>
  <si>
    <t>AP CSA
Intro to CS
Data Structures and Algorithms
Intro to AI/ML</t>
  </si>
  <si>
    <t>* Kumon instructor
* CreekCyber - Cisco Chair
* Arapahoe Libraries
* SCC online and Campus branch</t>
  </si>
  <si>
    <t>I would be able to teach Python, preferably intro</t>
  </si>
  <si>
    <t>Anishka Sinha</t>
  </si>
  <si>
    <t>I am 18</t>
  </si>
  <si>
    <t>harrietkroger@gmail.com</t>
  </si>
  <si>
    <t>Harriet</t>
  </si>
  <si>
    <t>Kroger</t>
  </si>
  <si>
    <t>720-965-5057</t>
  </si>
  <si>
    <t>College ☹️</t>
  </si>
  <si>
    <t xml:space="preserve">I love steel city codes. I’ve already volunteered at the summer camp 3 times and I’m hoping to get to do it again. It’s so fun and I love the volunteer community and working with kids. </t>
  </si>
  <si>
    <t>APCSP, APCSA, Capstone, college (data structure and software classes)</t>
  </si>
  <si>
    <t xml:space="preserve">I’ve been involved with scc for almost 4 years and have also worked as a therapy assistant for my mother in pediatric occupational therapy. I also used to work as a children’s swim instructor. </t>
  </si>
  <si>
    <t xml:space="preserve">I’m completely comfortable teaching intermediate python or intermediate java. Any level for python or java is fine for me.  </t>
  </si>
  <si>
    <t>kbackus@cherrycreekschools.org</t>
  </si>
  <si>
    <t>Kyan</t>
  </si>
  <si>
    <t>Backus</t>
  </si>
  <si>
    <t>720-243-0895</t>
  </si>
  <si>
    <t>9th</t>
  </si>
  <si>
    <t xml:space="preserve">Cherokee trail high school </t>
  </si>
  <si>
    <t>I want to volunteer with Steel City Codes because I enjoy helping younger students learn and explore coding, even while I’m still learning myself. I believe teaching others is a great way to improve my own skills and build confidence together. I want to help create a positive environment where kids feel encouraged to try new things and not be afraid to make mistakes.</t>
  </si>
  <si>
    <t>Java, HTML, CSS, Javascript</t>
  </si>
  <si>
    <t xml:space="preserve">Kyan Backus </t>
  </si>
  <si>
    <t>Kelsey Backus</t>
  </si>
  <si>
    <t>williamjchu2010@gmail.com</t>
  </si>
  <si>
    <t>William</t>
  </si>
  <si>
    <t>Chu</t>
  </si>
  <si>
    <t>I’ve gone to these camps before and loved them. Understood the content well and also I think it’s definitely a lot more productive of a way to spend my summer…</t>
  </si>
  <si>
    <t>Java, HTML</t>
  </si>
  <si>
    <t>APCSA</t>
  </si>
  <si>
    <t>Volunteered as a LIT at my middle school for a summer camp.</t>
  </si>
  <si>
    <t>William Chu</t>
  </si>
  <si>
    <t>Jingjing Chu</t>
  </si>
  <si>
    <t>kidsb1002@gmail.com</t>
  </si>
  <si>
    <t>Avery</t>
  </si>
  <si>
    <t>720-789-4486</t>
  </si>
  <si>
    <t>I really like this program and I have been at the camp for the last 4 years. I really liked teaching last year and would like to do it again.</t>
  </si>
  <si>
    <t>Intro and intermediate Java and python</t>
  </si>
  <si>
    <t>I taught intro to python last year and was a great experience
I taught volleyball to kids at a summer camp</t>
  </si>
  <si>
    <t>Avery Chen</t>
  </si>
  <si>
    <t xml:space="preserve">Chris Chen </t>
  </si>
  <si>
    <t>arohilla2@cherrycreekschools.org</t>
  </si>
  <si>
    <t>Arnav</t>
  </si>
  <si>
    <t>Rohilla</t>
  </si>
  <si>
    <t>I previously was a part of the summer camp you offer and really enjoyed the experience! I love teaching, and I want to give back to the community who first got me into computer science.</t>
  </si>
  <si>
    <t>Java, Python, HTML, CircuitPython</t>
  </si>
  <si>
    <t>AP Computer Science A</t>
  </si>
  <si>
    <t xml:space="preserve">- Was regional director of BinaryTree, a CS nonprofit, helped create presentations and gave online classes
- Volunteer at middle school brain bowl on Thursdays to teach trivia </t>
  </si>
  <si>
    <t>I’d be fine with teaching microcontrollers.</t>
  </si>
  <si>
    <t>Deepak</t>
  </si>
  <si>
    <t>esomani@cherrycreekschools.org</t>
  </si>
  <si>
    <t>Eesha</t>
  </si>
  <si>
    <t>Somani</t>
  </si>
  <si>
    <t>970-575-1407</t>
  </si>
  <si>
    <t>I would love to volunteer because I really enjoy teaching kids and already have experience doing it. I think coding is an awesome skill to share, and I want to help make it more accessible and fun for others. It would also be a great opportunity for me to practice my leadership skills while continuing to learn and help others.</t>
  </si>
  <si>
    <t>I have volunteered with FIRST LEGO League multiple times, where I mentored younger students as they prepared for a robotics competition. I have also served as a judge at events, providing compliments and feedback and in a positive and encouraging way.</t>
  </si>
  <si>
    <t>I can also teach Intermediate Java.</t>
  </si>
  <si>
    <t>EESHA SOMANI</t>
  </si>
  <si>
    <t>ANUPAMA SOMANI</t>
  </si>
  <si>
    <t>asharma8@cherrycreekschools.org</t>
  </si>
  <si>
    <t>720-871-2651</t>
  </si>
  <si>
    <t>I want to volunteer with Steel City Codes because I think it’s really important that more people get access to coding and tech opportunities because I really loved coding when I came to these camps and it is just really fun in general I like helping others learn, and this seems like a good way to actually make an impact while doing something I’m interested in. It would also help me build my communication and leadership skills at the same time.</t>
  </si>
  <si>
    <t>Java, Python, Processing</t>
  </si>
  <si>
    <t>Intro to Computer Science, AP Comp Sci Principals</t>
  </si>
  <si>
    <t>WED leader in middle school 2024-225 , Volunteered in Special Olympics 2025-2026, Soccer City in 2025 fro FBLA</t>
  </si>
  <si>
    <t xml:space="preserve">Processing, </t>
  </si>
  <si>
    <t>Arnav Sharma</t>
  </si>
  <si>
    <t>Rajiv Sharma</t>
  </si>
  <si>
    <t>sobaidullah@cherrycreekschools.org</t>
  </si>
  <si>
    <t>Shayaan</t>
  </si>
  <si>
    <t>Obaidullah</t>
  </si>
  <si>
    <t>720-352-5805</t>
  </si>
  <si>
    <t>I have been coding since I have been in 3rd grade and I would like to use my skills to help other students excel. I have had my friends be a part of Steel City Codes as students and they said they really enjoyed it so being a part of that seemed very interesting to me. I also love to teach people with tutoring math so teaching younger students how to code seems like something I would enjoy.</t>
  </si>
  <si>
    <t>I took Intro to Computer Science and AP Computer Science Principles</t>
  </si>
  <si>
    <t>-  Working in W.E.B. (Where Everybody Belongs) (2024-2025) during my 8th grade year to help new middle school students navigate through their first year of middle school
-  Volunteering during the summer (2021-2022) at the Nest Schools (preschool/daycare) with helping out take care of the children and keep them entertained
-  Volunteering at Soccer City as a coach (2025) for FBLA
-  Tutoring Students in Math (2022-2025)</t>
  </si>
  <si>
    <t>Game Development (Unity), Intermediate Java, and Microcontroller</t>
  </si>
  <si>
    <t>Shayaan Obaidullah</t>
  </si>
  <si>
    <t>Shan Obaidullah</t>
  </si>
  <si>
    <t>rmandavilli@cherrycreek.org</t>
  </si>
  <si>
    <t>Rushil</t>
  </si>
  <si>
    <t>Mandavilli</t>
  </si>
  <si>
    <t>I did the program when I was in 6th grade and I loved it. I want to be able to provide that to more students across the district.</t>
  </si>
  <si>
    <t>Yes I’m taking AP computer science</t>
  </si>
  <si>
    <t>-  participated in the richmorrow 
-  created several robotics programs
-  volunteered at a soup kitchen</t>
  </si>
  <si>
    <t>Rushil Mandavilli</t>
  </si>
  <si>
    <t>Rajita Mandavilli</t>
  </si>
  <si>
    <t>ajain2@cherrycreekschools.org</t>
  </si>
  <si>
    <t>Aadi</t>
  </si>
  <si>
    <t>Jain</t>
  </si>
  <si>
    <t>Cherokee Trail High School</t>
  </si>
  <si>
    <t xml:space="preserve">I remember doing this last year as an 8th grader, and it was very fun learning how to code with friends and having great teachers. This is why I would like to volunteer. To share my experience with the new kids that are coming, and making sure that they to, have a great time at SCC like I did. </t>
  </si>
  <si>
    <t xml:space="preserve">Computer Programming 1
Intro to python &lt; steel city codes last year
</t>
  </si>
  <si>
    <t xml:space="preserve">I volunteer at the CRC (Cougar Resource Center) where I help kids in math if needed.
I used to volunteer at the library, helping shelf books and helping people find them. 
</t>
  </si>
  <si>
    <t>Intermediate Python, Game Development</t>
  </si>
  <si>
    <t>Aadi Jain</t>
  </si>
  <si>
    <t>Basant Jain</t>
  </si>
  <si>
    <t>mathelli@cherrycreekschools.org</t>
  </si>
  <si>
    <t>Meghana</t>
  </si>
  <si>
    <t>Athelli</t>
  </si>
  <si>
    <t>720-301-4466</t>
  </si>
  <si>
    <t xml:space="preserve">I would like to volunteer with Steel City Codes because I am interested in working with children and helping them go through an interactive, exciting learning process I lacked as a middle schooler. When I was in middle school, I missed out on the chance to learn through Steel City Codes, an exceptional opportunity to begin learning or hone one’s programming skills, so I had to learn on my own through random online resources. Because of this lack of proper, in-person support as a young child, and my exposure to programming in high school through peers and teachers, I learned the value of helping children through physical interactions and  I would like to offer to spread my passion in the field of programming to younger children. </t>
  </si>
  <si>
    <t>Java, Python, C++</t>
  </si>
  <si>
    <t>I am taking computer science classes in my high school year. I have taken Intro to Computer Science, a class that teaches the basics of programming including variables, conditional statements, loops, arrays, functions, and classes. This is a semester long class. I am also taking AP Computer Science Principles, a class that is more lecture-based and teaches pseudocode and various topics related to computer science.</t>
  </si>
  <si>
    <t xml:space="preserve">- Volunteered for Youth Celebrate Diversity in-person event at Cherry Creek High School
- Rich Marrow Math Challenge Proctor Volunteer
-5th Grade Parent Night Volunteer
- NJHS St. Patrick’s Day Urban Peak Fundraiser Volunteer
- Campus Middle School Horticulture Club Plant Sale
- Campus Middle School Rock Shop Volunteer
-Additional NJHS Volunteer (Helping teachers, preparing events, scoreboard at CMS sports games)
</t>
  </si>
  <si>
    <t>I am pretty comfortable with Processing Graphics combined with Game Development.</t>
  </si>
  <si>
    <t>Meghana Athelli</t>
  </si>
  <si>
    <t>Pradeep Athelli</t>
  </si>
  <si>
    <t>ttarlekar2@cherrycreekschools.org</t>
  </si>
  <si>
    <t>Tanaya</t>
  </si>
  <si>
    <t>Tarlekar</t>
  </si>
  <si>
    <t xml:space="preserve">I would like to volunteer with Steel City Codes </t>
  </si>
  <si>
    <t>Python, C++</t>
  </si>
  <si>
    <t>Yes I have taken computer science classes before : - Intro to computer science, - AP Computer Science Principles</t>
  </si>
  <si>
    <t>Although I don't have experience working with children, I'm eager to contribute in any way I can. I've developed strong communication, patience, and teamwork skills through other volunteer and group settings, and I'm confident these strengths will help me support children effectively. I'm looking forward assisting the activities, and creating a safe, positive environment where kids feel encourages and supported.</t>
  </si>
  <si>
    <t xml:space="preserve">I;m confortable teaching a variety of beginner-friendly computer science and creative technology curriculums. Along with Processing and basic Python, I can help create basic game development, I can also teach introductory concepts, Processing graphics, and foundational programming skills like variable, loops, conditionals, and arrays. I enjoy breaking down technical ideas into simple, approachable steps, and I'm always willing to learn new tools or platforms to better support students.  </t>
  </si>
  <si>
    <t>Tanaya Tarlekar</t>
  </si>
  <si>
    <t>Nilesh Tarlekar</t>
  </si>
  <si>
    <t>shirly026den@gmail.com</t>
  </si>
  <si>
    <t>Zixuan</t>
  </si>
  <si>
    <t xml:space="preserve">Because I’m thinking that I can spread my knowledge to young kids that can make them live better during high school </t>
  </si>
  <si>
    <t>Yes, intro to cs &amp; AP computer science principle</t>
  </si>
  <si>
    <t xml:space="preserve">I’m a Chinese tutor outside of school </t>
  </si>
  <si>
    <t>My level of Java is the same as python, I just like python more,but I’m totally fine to also teach Java or html</t>
  </si>
  <si>
    <t>Zixuan Li</t>
  </si>
  <si>
    <t>Jianfei Li</t>
  </si>
  <si>
    <t>arnavjain711@gmail.com</t>
  </si>
  <si>
    <t>720-583-4111</t>
  </si>
  <si>
    <t>I want to volunteer with Steel City Codes because I like helping students learn and feel more confident in STEM. I’ve worked with younger students before, and I enjoy teaching and supporting them when they get stuck. I’m excited to help others learn new skills and become more interested in technology.</t>
  </si>
  <si>
    <t>Python, HTML, CSS</t>
  </si>
  <si>
    <t xml:space="preserve">Computer Programming I </t>
  </si>
  <si>
    <t>Volunteered with Mu Alpha Theta (CTHS math club), supporting an Algebra I classroom by assisting the teacher, answering student questions, and helping guide the class through lessons and practice problems.
Assisted at Walnut Hills Elementary School’s Chess Club, teaching students strategies, leading group instruction, and encouraging critical thinking and problem-solving skills.
Participated in the National Junior Honor Society (NJHS) at Infinity Middle School, contributing to community service projects and leadership activities.
Volunteered with Jain Mool Sangh (JMS), supporting technology initiatives and managing the temple’s social media to help engage the community.</t>
  </si>
  <si>
    <t>Web Development (HTML and CSS)</t>
  </si>
  <si>
    <t>ajain</t>
  </si>
  <si>
    <t>sjain</t>
  </si>
  <si>
    <t>ibukikataokalord@gmail.com</t>
  </si>
  <si>
    <t>Ibuki</t>
  </si>
  <si>
    <t>Lord</t>
  </si>
  <si>
    <t>720-219-0876</t>
  </si>
  <si>
    <t xml:space="preserve">I have experience in python, Lua, and C# and I believe this will help benefit me for my portfolio, not only that but being able to teach the material is the best way to know the material. I want to help grow the next generation of coders and spark the designer in them. </t>
  </si>
  <si>
    <t>Python, C#, Lua(based off of python)</t>
  </si>
  <si>
    <t>Programming 1</t>
  </si>
  <si>
    <t xml:space="preserve">I currently teach martial arts in the Colorado Martial Academy and work with kids on a weekly basis. I also have 2 years of experience of volunteering at the same school. </t>
  </si>
  <si>
    <t>Video Game Design</t>
  </si>
  <si>
    <t>Ibuki lord</t>
  </si>
  <si>
    <t>Ray Cooper Lord</t>
  </si>
  <si>
    <t>jspradley@gmail.com</t>
  </si>
  <si>
    <t xml:space="preserve">june </t>
  </si>
  <si>
    <t>spradley</t>
  </si>
  <si>
    <t>303 253 0137</t>
  </si>
  <si>
    <t>when i was a student at steel city i looked up to my teachers/ volenteers so i want to do that for other kids. i also enjoy coding so i thought it would be fun to teach.</t>
  </si>
  <si>
    <t>Python, HTML</t>
  </si>
  <si>
    <t>no</t>
  </si>
  <si>
    <t>I baby sit</t>
  </si>
  <si>
    <t>intermediate python</t>
  </si>
  <si>
    <t>June Spradley</t>
  </si>
  <si>
    <t>Molly Spradley</t>
  </si>
  <si>
    <t>amkawanabe@gmail.com</t>
  </si>
  <si>
    <t>Akemi</t>
  </si>
  <si>
    <t>Kawanabe</t>
  </si>
  <si>
    <t>303-253-5997</t>
  </si>
  <si>
    <t xml:space="preserve">I enjoy teaching and I wanted to try out teaching coding. A couple of my friends volunteered last summer and said it was fun as well. </t>
  </si>
  <si>
    <t>- Volunteered at Village Institute
- Babysitting jobs</t>
  </si>
  <si>
    <t xml:space="preserve">I would be comfortable teaching Game Development. </t>
  </si>
  <si>
    <t>Akemi Kawanabe</t>
  </si>
  <si>
    <t>Kanji Kawanabe</t>
  </si>
  <si>
    <t>czhu2@cherrycreekschools.org</t>
  </si>
  <si>
    <t>Christopher</t>
  </si>
  <si>
    <t>Zhu</t>
  </si>
  <si>
    <t>I took these SCC camps in middle school which are what got me into coding. I would like to give other children the opportunity to learn just how interesting and fun it can be.</t>
  </si>
  <si>
    <t>Christopher Zhu</t>
  </si>
  <si>
    <t>Xiaer Sun</t>
  </si>
  <si>
    <t>rishi.addanki@outlook.com</t>
  </si>
  <si>
    <t>Rishi</t>
  </si>
  <si>
    <t>Addanki</t>
  </si>
  <si>
    <t>720-250-6881</t>
  </si>
  <si>
    <t>I would like to volunteer because I like coding. I also want to teach coding for the first time after learning it for a long time.</t>
  </si>
  <si>
    <t>AP computer science principles.</t>
  </si>
  <si>
    <t>I’ve volunteered at the library over the summer.</t>
  </si>
  <si>
    <t>Rishi Addanki</t>
  </si>
  <si>
    <t>Lakshmi Addanki</t>
  </si>
  <si>
    <t>avi.novotny@gmail.com</t>
  </si>
  <si>
    <t>Avi</t>
  </si>
  <si>
    <t xml:space="preserve">Novotny </t>
  </si>
  <si>
    <t>720-919-4376</t>
  </si>
  <si>
    <t xml:space="preserve">I am passionate about computer science, and excited to expand my skills with Java and Python in a mentorship role! I have been learning these languages through tutoring for the past 7 years and would like to share my knowledge and experience with others. </t>
  </si>
  <si>
    <t>Java, Python, Scratch</t>
  </si>
  <si>
    <t>Python 1,2 and 3, Java 1 and 2 ( currently enrolled ) curriculum through Juni learning. Scratch also.</t>
  </si>
  <si>
    <t>I have mentored other students on my First Tech Challenge robotics team in Java coding. I have also been an active volunteer at Caley Ridge assisted living (playing music with the residents and socializing) and with the Frayed Knots knitting group doing charitable knitting.</t>
  </si>
  <si>
    <t>Python with Turtle/ Scratch</t>
  </si>
  <si>
    <t>Avi Novotny</t>
  </si>
  <si>
    <t>Roberts</t>
  </si>
  <si>
    <t>gupta</t>
  </si>
  <si>
    <t>Rithvik</t>
  </si>
  <si>
    <t>Ninganola</t>
  </si>
  <si>
    <t>Kaviya</t>
  </si>
  <si>
    <t>Viswanathan</t>
  </si>
  <si>
    <t>Xuanyu</t>
  </si>
  <si>
    <t>June</t>
  </si>
  <si>
    <t>Spradley</t>
  </si>
  <si>
    <t>Valdez Ortiz</t>
  </si>
  <si>
    <t>Denver 2026 SCC Summer Camp</t>
  </si>
  <si>
    <t>STATS</t>
  </si>
  <si>
    <t>Volunteer Application Breakdown</t>
  </si>
  <si>
    <t>APPLIED W1</t>
  </si>
  <si>
    <t>ACCEPTED W1</t>
  </si>
  <si>
    <t>WAITLIST W1</t>
  </si>
  <si>
    <t>Contact Info</t>
  </si>
  <si>
    <t xml:space="preserve">Dates can Teach </t>
  </si>
  <si>
    <t xml:space="preserve">Interview </t>
  </si>
  <si>
    <t>Breakdown</t>
  </si>
  <si>
    <t>APPLIED W2</t>
  </si>
  <si>
    <t>ACCEPTED W2</t>
  </si>
  <si>
    <t>WAITLIST W2</t>
  </si>
  <si>
    <t>Name</t>
  </si>
  <si>
    <t>Pronunciation /Nickname</t>
  </si>
  <si>
    <t>Phone</t>
  </si>
  <si>
    <t>Email</t>
  </si>
  <si>
    <t>Discord</t>
  </si>
  <si>
    <t>Week 1</t>
  </si>
  <si>
    <t>Week 2</t>
  </si>
  <si>
    <t xml:space="preserve">Interview Link </t>
  </si>
  <si>
    <t>Interview Score (-/25)</t>
  </si>
  <si>
    <t>Decision</t>
  </si>
  <si>
    <t>Age Group</t>
  </si>
  <si>
    <t>1st Preference</t>
  </si>
  <si>
    <t>2nd Preference</t>
  </si>
  <si>
    <t>Experienced / Inexperienced</t>
  </si>
  <si>
    <t>Notes</t>
  </si>
  <si>
    <t>APPLIED Teacher Count:</t>
  </si>
  <si>
    <t>ACCEPTED Teacher Count:</t>
  </si>
  <si>
    <t>WAITLIST Teacher Count:</t>
  </si>
  <si>
    <t>INTERVIEWS LEFT Count:</t>
  </si>
  <si>
    <t>Kyan Backus</t>
  </si>
  <si>
    <t>NO</t>
  </si>
  <si>
    <t>KEY</t>
  </si>
  <si>
    <t>NS</t>
  </si>
  <si>
    <t>NO - WAITLIST</t>
  </si>
  <si>
    <t>?</t>
  </si>
  <si>
    <t>Teach</t>
  </si>
  <si>
    <t>older</t>
  </si>
  <si>
    <t>Inexperienced</t>
  </si>
  <si>
    <t xml:space="preserve">uninterested in the interview in the sense that she was answering questions in a very short manner which kinda conveyed to me that she didn’t have too much interest in the role </t>
  </si>
  <si>
    <t>Rejected</t>
  </si>
  <si>
    <t>Did not show up for interview (2+ times)</t>
  </si>
  <si>
    <t>Rejected from waitlist</t>
  </si>
  <si>
    <t>Waitlist</t>
  </si>
  <si>
    <t>Accepted from waitlist</t>
  </si>
  <si>
    <t>Accepted</t>
  </si>
  <si>
    <t>Older</t>
  </si>
  <si>
    <t>*tends to ramble. *when going over topics, tend to ramble a lot and go off tangents. When going over how to balance out the classroom’s level, went on a ramble and didn’t explain clear enough what he would do.
*When finishing some points, would say”well, actually, now I think about it”</t>
  </si>
  <si>
    <t>Younger</t>
  </si>
  <si>
    <t>*argumentative 
-when explaining concepts not clear
-didn’t demonstrate what experience he had with any kids
-when asked for question what part of scc interests you the most, asked:”what do you mean”</t>
  </si>
  <si>
    <t>Withdrew Application</t>
  </si>
  <si>
    <t>Experienced</t>
  </si>
  <si>
    <t>didnt fill out application, didn't come to first interview, didn't come to second interview, had to be reached out to before any sort of response. acted like he just didnt know where the zoom link was, but then didn't bother to email us during his interview time 1 OR 2??? Also, wasn't even a present teacher last year.</t>
  </si>
  <si>
    <t>Either</t>
  </si>
  <si>
    <t>Arnav Reddy</t>
  </si>
  <si>
    <t>Pair w/ exp. teacher</t>
  </si>
  <si>
    <t>Willam Chu</t>
  </si>
  <si>
    <t xml:space="preserve">Expierienced </t>
  </si>
  <si>
    <t>Arush  Gudise</t>
  </si>
  <si>
    <t>Caleb Rossi</t>
  </si>
  <si>
    <t>Eesha Somani</t>
  </si>
  <si>
    <t>arnav sharma</t>
  </si>
  <si>
    <t>*pair with a more outgoing but more skillful teacher</t>
  </si>
  <si>
    <t>Pair with smn who can articulate things more conceptually (his own explanation is like he's teaching to smn who already knows but tries to be conceptual at times) - personality seems fine for younger or older students but maybe his teaching style would be better for older kids</t>
  </si>
  <si>
    <t xml:space="preserve">Trisha Kuriyal </t>
  </si>
  <si>
    <t>seems a bit shy/closed off, needs a more extroverted teacher to keep kids engaged. Also need an experienced teacher w him (he can't rlly explain conceptually that well)</t>
  </si>
  <si>
    <t>(Meg-a-na)</t>
  </si>
  <si>
    <t>(Shirly)</t>
  </si>
  <si>
    <t>Needs a strong co teacher, can't explain super well but understands</t>
  </si>
  <si>
    <t>Arnav Jain</t>
  </si>
  <si>
    <t>Both</t>
  </si>
  <si>
    <t>Niels Novotony</t>
  </si>
  <si>
    <t xml:space="preserve">June </t>
  </si>
  <si>
    <t>junespradley@gmail.com</t>
  </si>
  <si>
    <t xml:space="preserve"> June Spradley </t>
  </si>
  <si>
    <t>Isn't taking a CS class, doesn't have skill, but is nice. I'm worried about putting her into a WD class...</t>
  </si>
  <si>
    <t xml:space="preserve">Jayden Chhabra </t>
  </si>
  <si>
    <t>(ah-kemi)</t>
  </si>
  <si>
    <t>need experienced co- teacher, doesn't have skill but has a good personality</t>
  </si>
  <si>
    <t>Mom emailed us about her son not having the zoom link? Personality and teaching isnt great, but has skill</t>
  </si>
  <si>
    <t>Gabirela Rivera</t>
  </si>
  <si>
    <t>Romina Costellanos</t>
  </si>
  <si>
    <t>*really good communicator *pair with experienced teacher because english is not her first language</t>
  </si>
  <si>
    <t>amazing speaking skills super impressed by him</t>
  </si>
  <si>
    <t>was not able to answer msot quetions to the fullest, but seems that he can teach well with others and teach students; also his explanation of arrays sounded like he knew what he was taking about but coudlnt articulate</t>
  </si>
  <si>
    <t xml:space="preserve">Viswanathan </t>
  </si>
  <si>
    <t xml:space="preserve">Kaviya Viswanathan </t>
  </si>
  <si>
    <t>younger</t>
  </si>
  <si>
    <t>Inexpiereinced</t>
  </si>
  <si>
    <t>Terry Zhang</t>
  </si>
  <si>
    <t>hes kinda boring -- put with an interesting teacher so the kids die of boredoms</t>
  </si>
  <si>
    <t>mahavira</t>
  </si>
  <si>
    <t>Hector Valdez Ortiz</t>
  </si>
  <si>
    <t>kinda boring - did not explain the arrays too well</t>
  </si>
  <si>
    <t>kelly chang</t>
  </si>
  <si>
    <t>Andrew Deppershmit</t>
  </si>
  <si>
    <t>Great teacher, should be put in an advanced class though</t>
  </si>
  <si>
    <t>(Erika)</t>
  </si>
  <si>
    <t>Ariuka Bayasgalan</t>
  </si>
  <si>
    <t>missed her meeting and was late to submit her app but i love her too much</t>
  </si>
  <si>
    <t>Assigned</t>
  </si>
  <si>
    <t>Weeks Can Teach</t>
  </si>
  <si>
    <t>W1</t>
  </si>
  <si>
    <t>W2</t>
  </si>
  <si>
    <t>Pronunciation / Real name</t>
  </si>
  <si>
    <t>About Form</t>
  </si>
  <si>
    <t>Orientation</t>
  </si>
  <si>
    <t>x</t>
  </si>
  <si>
    <t>(Cuh-beer)</t>
  </si>
  <si>
    <t>Tuka</t>
  </si>
  <si>
    <t>(Ah-ree-un)</t>
  </si>
  <si>
    <t>(ah-ROOSH)</t>
  </si>
  <si>
    <t>(Nih-kol-lis)</t>
  </si>
  <si>
    <t>(AAA-di)</t>
  </si>
  <si>
    <t>(Meg-uh-na)</t>
  </si>
  <si>
    <t>Shirly</t>
  </si>
  <si>
    <t>(AHR-nav)</t>
  </si>
  <si>
    <t>(Knee-els)</t>
  </si>
  <si>
    <t>Alex</t>
  </si>
  <si>
    <t>(Alexander)</t>
  </si>
  <si>
    <t>(Mah-ha-vee-ruh)</t>
  </si>
  <si>
    <t>*pair with a more outgoing but more skillful teacher. had his friend text me because he coudltn find himself on the list for week 1. he literally did not sign up for week 1</t>
  </si>
  <si>
    <t>(Shy-An, like Cheyenne, Wyoming)</t>
  </si>
  <si>
    <t>(Ah-keh-mee)</t>
  </si>
  <si>
    <t>(Uh-nuh-nya)</t>
  </si>
  <si>
    <t>(UH-vee)</t>
  </si>
  <si>
    <t>(mar-SHELL)</t>
  </si>
  <si>
    <t>(R-ih-th-vik)</t>
  </si>
  <si>
    <t>Gaby</t>
  </si>
  <si>
    <t>AJ</t>
  </si>
  <si>
    <t>Andrew</t>
  </si>
  <si>
    <t>WEEK 1</t>
  </si>
  <si>
    <t>FULL</t>
  </si>
  <si>
    <t>Experience</t>
  </si>
  <si>
    <t>ASSIGNED</t>
  </si>
  <si>
    <t>ADMIN</t>
  </si>
  <si>
    <t>J2-1</t>
  </si>
  <si>
    <t>CURRENT TEACHER COUNT</t>
  </si>
  <si>
    <t>REQ.</t>
  </si>
  <si>
    <t>CLASS</t>
  </si>
  <si>
    <t>EXP.</t>
  </si>
  <si>
    <t>INEXP.</t>
  </si>
  <si>
    <t>TOTAL</t>
  </si>
  <si>
    <t>/X</t>
  </si>
  <si>
    <t>P2-1</t>
  </si>
  <si>
    <t>J1</t>
  </si>
  <si>
    <t>P2-2</t>
  </si>
  <si>
    <t>J2</t>
  </si>
  <si>
    <t>Andrew Depperschmidt</t>
  </si>
  <si>
    <t>P1</t>
  </si>
  <si>
    <t>P2</t>
  </si>
  <si>
    <t>Romina Castellanos</t>
  </si>
  <si>
    <t>MC</t>
  </si>
  <si>
    <t>J1-2</t>
  </si>
  <si>
    <t>WD</t>
  </si>
  <si>
    <t>J1-1</t>
  </si>
  <si>
    <t>P1-4</t>
  </si>
  <si>
    <t>Harriet Kroger</t>
  </si>
  <si>
    <t>P1-5</t>
  </si>
  <si>
    <t>Wini Gale</t>
  </si>
  <si>
    <t>P1-1</t>
  </si>
  <si>
    <t>P1-2</t>
  </si>
  <si>
    <t>P1-3</t>
  </si>
  <si>
    <t>Gabriela Rivera</t>
  </si>
  <si>
    <t>Haanie Mohammed</t>
  </si>
  <si>
    <t>Lucy Chen</t>
  </si>
  <si>
    <t>Aarnav Reddy</t>
  </si>
  <si>
    <t>WEEK 2</t>
  </si>
  <si>
    <t>FULL NAME</t>
  </si>
  <si>
    <t>J2-2</t>
  </si>
  <si>
    <t>P2-3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</si>
</sst>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0">
    <font>
      <sz val="10.0"/>
      <color rgb="FF000000"/>
      <name val="Arial"/>
      <scheme val="minor"/>
    </font>
    <font>
      <color theme="1"/>
      <name val="Arial"/>
      <scheme val="minor"/>
    </font>
    <font>
      <sz val="12.0"/>
      <color rgb="FF000000"/>
      <name val="&quot;Aptos Narrow&quot;"/>
    </font>
    <font>
      <b/>
      <sz val="12.0"/>
      <color theme="1"/>
      <name val="Comic Sans MS"/>
    </font>
    <font/>
    <font>
      <b/>
      <i/>
      <sz val="12.0"/>
      <color theme="1"/>
      <name val="Comic Sans MS"/>
    </font>
    <font>
      <b/>
      <sz val="11.0"/>
      <color theme="1"/>
      <name val="Comic Sans MS"/>
    </font>
    <font>
      <color theme="1"/>
      <name val="Arial"/>
    </font>
    <font>
      <u/>
      <color theme="1"/>
      <name val="Arial"/>
    </font>
    <font>
      <u/>
      <color theme="1"/>
      <name val="Arial"/>
    </font>
    <font>
      <u/>
      <color theme="1"/>
      <name val="Arial"/>
      <scheme val="minor"/>
    </font>
    <font>
      <u/>
      <color theme="1"/>
      <name val="Arial"/>
    </font>
    <font>
      <u/>
      <color theme="1"/>
      <name val="Arial"/>
    </font>
    <font>
      <color rgb="FF000000"/>
      <name val="Arial"/>
    </font>
    <font>
      <u/>
      <color theme="1"/>
      <name val="Arial"/>
    </font>
    <font>
      <color rgb="FF1F1F1F"/>
      <name val="Arial"/>
    </font>
    <font>
      <u/>
      <color theme="1"/>
      <name val="Arial"/>
      <scheme val="minor"/>
    </font>
    <font>
      <u/>
      <color theme="1"/>
      <name val="Arial"/>
      <scheme val="minor"/>
    </font>
    <font>
      <b/>
      <color theme="1"/>
      <name val="Arial"/>
      <scheme val="minor"/>
    </font>
    <font>
      <b/>
      <color theme="1"/>
      <name val="Arial"/>
    </font>
  </fonts>
  <fills count="12">
    <fill>
      <patternFill patternType="none"/>
    </fill>
    <fill>
      <patternFill patternType="lightGray"/>
    </fill>
    <fill>
      <patternFill patternType="solid">
        <fgColor rgb="FFFFD966"/>
        <bgColor rgb="FFFFD966"/>
      </patternFill>
    </fill>
    <fill>
      <patternFill patternType="solid">
        <fgColor rgb="FF666666"/>
        <bgColor rgb="FF666666"/>
      </patternFill>
    </fill>
    <fill>
      <patternFill patternType="solid">
        <fgColor theme="5"/>
        <bgColor theme="5"/>
      </patternFill>
    </fill>
    <fill>
      <patternFill patternType="solid">
        <fgColor rgb="FFFFFFFF"/>
        <bgColor rgb="FFFFFFFF"/>
      </patternFill>
    </fill>
    <fill>
      <patternFill patternType="solid">
        <fgColor theme="6"/>
        <bgColor theme="6"/>
      </patternFill>
    </fill>
    <fill>
      <patternFill patternType="solid">
        <fgColor rgb="FF93C47D"/>
        <bgColor rgb="FF93C47D"/>
      </patternFill>
    </fill>
    <fill>
      <patternFill patternType="solid">
        <fgColor theme="7"/>
        <bgColor theme="7"/>
      </patternFill>
    </fill>
    <fill>
      <patternFill patternType="solid">
        <fgColor rgb="FFF3F3F3"/>
        <bgColor rgb="FFF3F3F3"/>
      </patternFill>
    </fill>
    <fill>
      <patternFill patternType="solid">
        <fgColor theme="8"/>
        <bgColor theme="8"/>
      </patternFill>
    </fill>
    <fill>
      <patternFill patternType="solid">
        <fgColor rgb="FF34A853"/>
        <bgColor rgb="FF34A853"/>
      </patternFill>
    </fill>
  </fills>
  <borders count="16">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2" fontId="3" numFmtId="0" xfId="0" applyAlignment="1" applyFill="1" applyFont="1">
      <alignment horizontal="center" shrinkToFit="0" vertical="bottom" wrapText="1"/>
    </xf>
    <xf borderId="0" fillId="2" fontId="3" numFmtId="0" xfId="0" applyAlignment="1" applyFont="1">
      <alignment horizontal="center" readingOrder="0" shrinkToFit="0" vertical="bottom" wrapText="1"/>
    </xf>
    <xf borderId="1" fillId="0" fontId="4" numFmtId="0" xfId="0" applyBorder="1" applyFont="1"/>
    <xf borderId="2" fillId="2" fontId="3" numFmtId="0" xfId="0" applyAlignment="1" applyBorder="1" applyFont="1">
      <alignment horizontal="center" readingOrder="0" shrinkToFit="0" vertical="bottom" wrapText="1"/>
    </xf>
    <xf borderId="3" fillId="0" fontId="4" numFmtId="0" xfId="0" applyBorder="1" applyFont="1"/>
    <xf borderId="4" fillId="0" fontId="4" numFmtId="0" xfId="0" applyBorder="1" applyFont="1"/>
    <xf borderId="0" fillId="2" fontId="5" numFmtId="0" xfId="0" applyAlignment="1" applyFont="1">
      <alignment horizontal="center" shrinkToFit="0" vertical="bottom" wrapText="1"/>
    </xf>
    <xf borderId="1" fillId="2" fontId="3" numFmtId="0" xfId="0" applyAlignment="1" applyBorder="1" applyFont="1">
      <alignment horizontal="center" shrinkToFit="0" vertical="bottom" wrapText="1"/>
    </xf>
    <xf borderId="5" fillId="2" fontId="3" numFmtId="0" xfId="0" applyAlignment="1" applyBorder="1" applyFont="1">
      <alignment horizontal="center" shrinkToFit="0" vertical="bottom" wrapText="1"/>
    </xf>
    <xf borderId="6" fillId="2" fontId="3" numFmtId="0" xfId="0" applyAlignment="1" applyBorder="1" applyFont="1">
      <alignment horizontal="center" shrinkToFit="0" vertical="bottom" wrapText="1"/>
    </xf>
    <xf borderId="7" fillId="2" fontId="3" numFmtId="0" xfId="0" applyAlignment="1" applyBorder="1" applyFont="1">
      <alignment horizontal="center" shrinkToFit="0" vertical="bottom" wrapText="1"/>
    </xf>
    <xf borderId="5" fillId="0" fontId="4" numFmtId="0" xfId="0" applyBorder="1" applyFont="1"/>
    <xf borderId="6" fillId="0" fontId="4" numFmtId="0" xfId="0" applyBorder="1" applyFont="1"/>
    <xf borderId="5" fillId="2" fontId="3" numFmtId="0" xfId="0" applyAlignment="1" applyBorder="1" applyFont="1">
      <alignment horizontal="center" readingOrder="0" shrinkToFit="0" vertical="bottom" wrapText="1"/>
    </xf>
    <xf borderId="8" fillId="2" fontId="3" numFmtId="0" xfId="0" applyAlignment="1" applyBorder="1" applyFont="1">
      <alignment horizontal="center" readingOrder="0" shrinkToFit="0" vertical="bottom" wrapText="1"/>
    </xf>
    <xf borderId="9" fillId="2" fontId="3" numFmtId="0" xfId="0" applyAlignment="1" applyBorder="1" applyFont="1">
      <alignment horizontal="center" shrinkToFit="0" vertical="bottom" wrapText="1"/>
    </xf>
    <xf borderId="10" fillId="2" fontId="3" numFmtId="0" xfId="0" applyAlignment="1" applyBorder="1" applyFont="1">
      <alignment horizontal="center" shrinkToFit="0" vertical="bottom" wrapText="1"/>
    </xf>
    <xf borderId="11" fillId="2" fontId="6" numFmtId="0" xfId="0" applyAlignment="1" applyBorder="1" applyFont="1">
      <alignment horizontal="center" readingOrder="0" shrinkToFit="0" vertical="bottom" wrapText="1"/>
    </xf>
    <xf borderId="9" fillId="2" fontId="3" numFmtId="0" xfId="0" applyAlignment="1" applyBorder="1" applyFont="1">
      <alignment horizontal="center" readingOrder="0" shrinkToFit="0" vertical="bottom" wrapText="1"/>
    </xf>
    <xf borderId="11" fillId="2" fontId="3" numFmtId="0" xfId="0" applyAlignment="1" applyBorder="1" applyFont="1">
      <alignment horizontal="center" shrinkToFit="0" vertical="bottom" wrapText="1"/>
    </xf>
    <xf borderId="10" fillId="2" fontId="3" numFmtId="0" xfId="0" applyAlignment="1" applyBorder="1" applyFont="1">
      <alignment horizontal="center" readingOrder="0" shrinkToFit="0" vertical="bottom" wrapText="1"/>
    </xf>
    <xf borderId="11" fillId="2" fontId="3" numFmtId="0" xfId="0" applyAlignment="1" applyBorder="1" applyFont="1">
      <alignment horizontal="center" readingOrder="0" shrinkToFit="0" vertical="bottom" wrapText="1"/>
    </xf>
    <xf borderId="0" fillId="3" fontId="7" numFmtId="0" xfId="0" applyAlignment="1" applyFill="1" applyFont="1">
      <alignment vertical="bottom"/>
    </xf>
    <xf borderId="1" fillId="3" fontId="7" numFmtId="0" xfId="0" applyAlignment="1" applyBorder="1" applyFont="1">
      <alignment vertical="bottom"/>
    </xf>
    <xf borderId="0" fillId="3" fontId="7" numFmtId="0" xfId="0" applyAlignment="1" applyFont="1">
      <alignment readingOrder="0" vertical="bottom"/>
    </xf>
    <xf borderId="0" fillId="3" fontId="1" numFmtId="0" xfId="0" applyAlignment="1" applyFont="1">
      <alignment readingOrder="0"/>
    </xf>
    <xf borderId="1" fillId="3" fontId="7" numFmtId="0" xfId="0" applyAlignment="1" applyBorder="1" applyFont="1">
      <alignment readingOrder="0" vertical="bottom"/>
    </xf>
    <xf borderId="0" fillId="3" fontId="8" numFmtId="0" xfId="0" applyAlignment="1" applyFont="1">
      <alignment readingOrder="0" vertical="bottom"/>
    </xf>
    <xf borderId="1" fillId="4" fontId="7" numFmtId="0" xfId="0" applyAlignment="1" applyBorder="1" applyFill="1" applyFont="1">
      <alignment readingOrder="0" vertical="bottom"/>
    </xf>
    <xf borderId="3" fillId="5" fontId="4" numFmtId="0" xfId="0" applyBorder="1" applyFill="1" applyFont="1"/>
    <xf borderId="4" fillId="5" fontId="4" numFmtId="0" xfId="0" applyBorder="1" applyFont="1"/>
    <xf borderId="0" fillId="5" fontId="3" numFmtId="0" xfId="0" applyAlignment="1" applyFont="1">
      <alignment horizontal="center" readingOrder="0" shrinkToFit="0" vertical="bottom" wrapText="1"/>
    </xf>
    <xf borderId="0" fillId="3" fontId="9" numFmtId="0" xfId="0" applyAlignment="1" applyFont="1">
      <alignment readingOrder="0" vertical="bottom"/>
    </xf>
    <xf borderId="0" fillId="6" fontId="1" numFmtId="0" xfId="0" applyAlignment="1" applyFill="1" applyFont="1">
      <alignment readingOrder="0"/>
    </xf>
    <xf borderId="1" fillId="7" fontId="7" numFmtId="0" xfId="0" applyAlignment="1" applyBorder="1" applyFill="1" applyFont="1">
      <alignment readingOrder="0" vertical="bottom"/>
    </xf>
    <xf borderId="0" fillId="8" fontId="7" numFmtId="0" xfId="0" applyAlignment="1" applyFill="1" applyFont="1">
      <alignment readingOrder="0" vertical="bottom"/>
    </xf>
    <xf borderId="8" fillId="9" fontId="7" numFmtId="0" xfId="0" applyAlignment="1" applyBorder="1" applyFill="1" applyFont="1">
      <alignment readingOrder="0" vertical="bottom"/>
    </xf>
    <xf borderId="1" fillId="3" fontId="1" numFmtId="0" xfId="0" applyAlignment="1" applyBorder="1" applyFont="1">
      <alignment readingOrder="0"/>
    </xf>
    <xf borderId="12" fillId="2" fontId="7" numFmtId="0" xfId="0" applyAlignment="1" applyBorder="1" applyFont="1">
      <alignment readingOrder="0" shrinkToFit="0" vertical="center" wrapText="1"/>
    </xf>
    <xf borderId="12" fillId="2" fontId="1" numFmtId="0" xfId="0" applyAlignment="1" applyBorder="1" applyFont="1">
      <alignment readingOrder="0" shrinkToFit="0" vertical="center" wrapText="1"/>
    </xf>
    <xf borderId="1" fillId="3" fontId="7" numFmtId="0" xfId="0" applyAlignment="1" applyBorder="1" applyFont="1">
      <alignment readingOrder="0" vertical="bottom"/>
    </xf>
    <xf borderId="13" fillId="9" fontId="4" numFmtId="0" xfId="0" applyBorder="1" applyFont="1"/>
    <xf borderId="0" fillId="3" fontId="1" numFmtId="0" xfId="0" applyAlignment="1" applyFont="1">
      <alignment readingOrder="0"/>
    </xf>
    <xf borderId="1" fillId="3" fontId="1" numFmtId="0" xfId="0" applyBorder="1" applyFont="1"/>
    <xf borderId="0" fillId="3" fontId="10" numFmtId="0" xfId="0" applyAlignment="1" applyFont="1">
      <alignment readingOrder="0"/>
    </xf>
    <xf borderId="0" fillId="9" fontId="7" numFmtId="0" xfId="0" applyAlignment="1" applyFont="1">
      <alignment vertical="bottom"/>
    </xf>
    <xf borderId="0" fillId="5" fontId="7" numFmtId="0" xfId="0" applyAlignment="1" applyFont="1">
      <alignment vertical="bottom"/>
    </xf>
    <xf borderId="1" fillId="9" fontId="7" numFmtId="0" xfId="0" applyAlignment="1" applyBorder="1" applyFont="1">
      <alignment vertical="bottom"/>
    </xf>
    <xf borderId="0" fillId="9" fontId="7" numFmtId="0" xfId="0" applyAlignment="1" applyFont="1">
      <alignment readingOrder="0" vertical="bottom"/>
    </xf>
    <xf borderId="1" fillId="8" fontId="7" numFmtId="0" xfId="0" applyAlignment="1" applyBorder="1" applyFont="1">
      <alignment vertical="bottom"/>
    </xf>
    <xf borderId="0" fillId="8" fontId="1" numFmtId="0" xfId="0" applyAlignment="1" applyFont="1">
      <alignment readingOrder="0"/>
    </xf>
    <xf borderId="1" fillId="8" fontId="1" numFmtId="0" xfId="0" applyAlignment="1" applyBorder="1" applyFont="1">
      <alignment readingOrder="0"/>
    </xf>
    <xf borderId="1" fillId="8" fontId="7" numFmtId="0" xfId="0" applyAlignment="1" applyBorder="1" applyFont="1">
      <alignment readingOrder="0" vertical="bottom"/>
    </xf>
    <xf borderId="0" fillId="9" fontId="1" numFmtId="0" xfId="0" applyFont="1"/>
    <xf borderId="1" fillId="5" fontId="7" numFmtId="0" xfId="0" applyAlignment="1" applyBorder="1" applyFont="1">
      <alignment vertical="bottom"/>
    </xf>
    <xf borderId="0" fillId="5" fontId="7" numFmtId="0" xfId="0" applyAlignment="1" applyFont="1">
      <alignment readingOrder="0" vertical="bottom"/>
    </xf>
    <xf borderId="0" fillId="5" fontId="11" numFmtId="0" xfId="0" applyAlignment="1" applyFont="1">
      <alignment readingOrder="0" vertical="bottom"/>
    </xf>
    <xf borderId="0" fillId="5" fontId="1" numFmtId="0" xfId="0" applyFont="1"/>
    <xf borderId="0" fillId="9" fontId="12" numFmtId="0" xfId="0" applyAlignment="1" applyFont="1">
      <alignment readingOrder="0" vertical="bottom"/>
    </xf>
    <xf borderId="0" fillId="9" fontId="1" numFmtId="0" xfId="0" applyAlignment="1" applyFont="1">
      <alignment readingOrder="0"/>
    </xf>
    <xf borderId="1" fillId="9" fontId="7" numFmtId="0" xfId="0" applyAlignment="1" applyBorder="1" applyFont="1">
      <alignment readingOrder="0" vertical="bottom"/>
    </xf>
    <xf borderId="1" fillId="5" fontId="7" numFmtId="0" xfId="0" applyAlignment="1" applyBorder="1" applyFont="1">
      <alignment readingOrder="0" vertical="bottom"/>
    </xf>
    <xf borderId="0" fillId="5" fontId="1" numFmtId="0" xfId="0" applyAlignment="1" applyFont="1">
      <alignment readingOrder="0"/>
    </xf>
    <xf borderId="0" fillId="5" fontId="13" numFmtId="0" xfId="0" applyAlignment="1" applyFont="1">
      <alignment readingOrder="0" vertical="bottom"/>
    </xf>
    <xf borderId="0" fillId="9" fontId="13" numFmtId="0" xfId="0" applyAlignment="1" applyFont="1">
      <alignment readingOrder="0" vertical="bottom"/>
    </xf>
    <xf borderId="0" fillId="5" fontId="14" numFmtId="0" xfId="0" applyAlignment="1" applyFont="1">
      <alignment readingOrder="0" vertical="bottom"/>
    </xf>
    <xf borderId="1" fillId="5" fontId="1" numFmtId="0" xfId="0" applyBorder="1" applyFont="1"/>
    <xf borderId="0" fillId="5" fontId="15" numFmtId="0" xfId="0" applyAlignment="1" applyFont="1">
      <alignment readingOrder="0" vertical="bottom"/>
    </xf>
    <xf borderId="1" fillId="9" fontId="1" numFmtId="0" xfId="0" applyAlignment="1" applyBorder="1" applyFont="1">
      <alignment readingOrder="0"/>
    </xf>
    <xf borderId="1" fillId="9" fontId="1" numFmtId="0" xfId="0" applyBorder="1" applyFont="1"/>
    <xf borderId="0" fillId="9" fontId="16" numFmtId="0" xfId="0" applyAlignment="1" applyFont="1">
      <alignment readingOrder="0"/>
    </xf>
    <xf borderId="1" fillId="5" fontId="1" numFmtId="0" xfId="0" applyAlignment="1" applyBorder="1" applyFont="1">
      <alignment readingOrder="0"/>
    </xf>
    <xf borderId="0" fillId="5" fontId="17" numFmtId="0" xfId="0" applyAlignment="1" applyFont="1">
      <alignment readingOrder="0"/>
    </xf>
    <xf borderId="0" fillId="3" fontId="1" numFmtId="0" xfId="0" applyFont="1"/>
    <xf borderId="1" fillId="0" fontId="1" numFmtId="0" xfId="0" applyBorder="1" applyFont="1"/>
    <xf borderId="8" fillId="0" fontId="1" numFmtId="0" xfId="0" applyBorder="1" applyFont="1"/>
    <xf borderId="1" fillId="0" fontId="7" numFmtId="0" xfId="0" applyAlignment="1" applyBorder="1" applyFont="1">
      <alignment readingOrder="0" vertical="bottom"/>
    </xf>
    <xf borderId="7" fillId="2" fontId="3" numFmtId="0" xfId="0" applyAlignment="1" applyBorder="1" applyFont="1">
      <alignment horizontal="center" readingOrder="0" shrinkToFit="0" vertical="bottom" wrapText="1"/>
    </xf>
    <xf borderId="0" fillId="0" fontId="3" numFmtId="0" xfId="0" applyAlignment="1" applyFont="1">
      <alignment horizontal="center" readingOrder="0" shrinkToFit="0" vertical="bottom" wrapText="1"/>
    </xf>
    <xf borderId="11" fillId="2" fontId="5" numFmtId="0" xfId="0" applyAlignment="1" applyBorder="1" applyFont="1">
      <alignment horizontal="center" shrinkToFit="0" vertical="bottom" wrapText="1"/>
    </xf>
    <xf borderId="9" fillId="0" fontId="4" numFmtId="0" xfId="0" applyBorder="1" applyFont="1"/>
    <xf borderId="10" fillId="0" fontId="4" numFmtId="0" xfId="0" applyBorder="1" applyFont="1"/>
    <xf borderId="0" fillId="0" fontId="3" numFmtId="0" xfId="0" applyAlignment="1" applyFont="1">
      <alignment horizontal="center" shrinkToFit="0" vertical="bottom" wrapText="1"/>
    </xf>
    <xf borderId="1" fillId="2" fontId="3" numFmtId="0" xfId="0" applyAlignment="1" applyBorder="1" applyFont="1">
      <alignment horizontal="center" readingOrder="0" shrinkToFit="0" vertical="bottom" wrapText="1"/>
    </xf>
    <xf borderId="8" fillId="0" fontId="3" numFmtId="0" xfId="0" applyAlignment="1" applyBorder="1" applyFont="1">
      <alignment horizontal="center" readingOrder="0" shrinkToFit="0" vertical="bottom" wrapText="1"/>
    </xf>
    <xf borderId="0" fillId="0" fontId="7" numFmtId="0" xfId="0" applyAlignment="1" applyFont="1">
      <alignment vertical="bottom"/>
    </xf>
    <xf borderId="0" fillId="8" fontId="7" numFmtId="0" xfId="0" applyAlignment="1" applyFont="1">
      <alignment vertical="bottom"/>
    </xf>
    <xf borderId="0" fillId="0" fontId="7" numFmtId="0" xfId="0" applyAlignment="1" applyFont="1">
      <alignment readingOrder="0" vertical="bottom"/>
    </xf>
    <xf borderId="0" fillId="0" fontId="1" numFmtId="0" xfId="0" applyAlignment="1" applyFont="1">
      <alignment readingOrder="0"/>
    </xf>
    <xf borderId="1" fillId="0" fontId="1" numFmtId="0" xfId="0" applyAlignment="1" applyBorder="1" applyFont="1">
      <alignment readingOrder="0"/>
    </xf>
    <xf borderId="1" fillId="0" fontId="7" numFmtId="0" xfId="0" applyAlignment="1" applyBorder="1" applyFont="1">
      <alignment vertical="bottom"/>
    </xf>
    <xf borderId="0" fillId="0" fontId="1" numFmtId="0" xfId="0" applyFont="1"/>
    <xf borderId="0" fillId="4" fontId="1" numFmtId="0" xfId="0" applyAlignment="1" applyFont="1">
      <alignment readingOrder="0"/>
    </xf>
    <xf borderId="1" fillId="10" fontId="1" numFmtId="0" xfId="0" applyAlignment="1" applyBorder="1" applyFill="1" applyFont="1">
      <alignment readingOrder="0"/>
    </xf>
    <xf borderId="1" fillId="0" fontId="7" numFmtId="0" xfId="0" applyAlignment="1" applyBorder="1" applyFont="1">
      <alignment readingOrder="0" vertical="bottom"/>
    </xf>
    <xf borderId="1" fillId="4" fontId="1" numFmtId="0" xfId="0" applyAlignment="1" applyBorder="1" applyFont="1">
      <alignment readingOrder="0"/>
    </xf>
    <xf borderId="0" fillId="0" fontId="7" numFmtId="0" xfId="0" applyAlignment="1" applyFont="1">
      <alignment vertical="bottom"/>
    </xf>
    <xf borderId="0" fillId="0" fontId="7" numFmtId="0" xfId="0" applyAlignment="1" applyFont="1">
      <alignment readingOrder="0" vertical="bottom"/>
    </xf>
    <xf borderId="1" fillId="0" fontId="7" numFmtId="0" xfId="0" applyAlignment="1" applyBorder="1" applyFont="1">
      <alignment vertical="bottom"/>
    </xf>
    <xf borderId="0" fillId="0" fontId="1" numFmtId="0" xfId="0" applyAlignment="1" applyFont="1">
      <alignment readingOrder="0"/>
    </xf>
    <xf borderId="1" fillId="0" fontId="1" numFmtId="0" xfId="0" applyAlignment="1" applyBorder="1" applyFont="1">
      <alignment readingOrder="0"/>
    </xf>
    <xf borderId="0" fillId="9" fontId="7" numFmtId="0" xfId="0" applyAlignment="1" applyFont="1">
      <alignment vertical="bottom"/>
    </xf>
    <xf borderId="1" fillId="9" fontId="7" numFmtId="0" xfId="0" applyAlignment="1" applyBorder="1" applyFont="1">
      <alignment vertical="bottom"/>
    </xf>
    <xf borderId="0" fillId="9" fontId="7" numFmtId="0" xfId="0" applyAlignment="1" applyFont="1">
      <alignment readingOrder="0" vertical="bottom"/>
    </xf>
    <xf borderId="0" fillId="9" fontId="7" numFmtId="0" xfId="0" applyAlignment="1" applyFont="1">
      <alignment vertical="bottom"/>
    </xf>
    <xf borderId="0" fillId="11" fontId="7" numFmtId="0" xfId="0" applyAlignment="1" applyFill="1" applyFont="1">
      <alignment vertical="bottom"/>
    </xf>
    <xf borderId="1" fillId="0" fontId="1" numFmtId="0" xfId="0" applyBorder="1" applyFont="1"/>
    <xf borderId="0" fillId="0" fontId="1" numFmtId="0" xfId="0" applyFont="1"/>
    <xf borderId="0" fillId="0" fontId="18" numFmtId="0" xfId="0" applyAlignment="1" applyFont="1">
      <alignment readingOrder="0"/>
    </xf>
    <xf borderId="0" fillId="0" fontId="18" numFmtId="0" xfId="0" applyFont="1"/>
    <xf borderId="0" fillId="0" fontId="19" numFmtId="0" xfId="0" applyAlignment="1" applyFont="1">
      <alignment vertical="bottom"/>
    </xf>
    <xf borderId="0" fillId="0" fontId="7" numFmtId="0" xfId="0" applyAlignment="1" applyFont="1">
      <alignment horizontal="right" vertical="bottom"/>
    </xf>
    <xf borderId="0" fillId="0" fontId="19" numFmtId="0" xfId="0" applyAlignment="1" applyFont="1">
      <alignment horizontal="right" vertical="bottom"/>
    </xf>
    <xf borderId="0" fillId="0" fontId="7" numFmtId="0" xfId="0" applyAlignment="1" applyFont="1">
      <alignment horizontal="right" readingOrder="0" vertical="bottom"/>
    </xf>
    <xf borderId="7" fillId="0" fontId="19" numFmtId="0" xfId="0" applyAlignment="1" applyBorder="1" applyFont="1">
      <alignment vertical="bottom"/>
    </xf>
    <xf borderId="12" fillId="0" fontId="19" numFmtId="0" xfId="0" applyAlignment="1" applyBorder="1" applyFont="1">
      <alignment vertical="bottom"/>
    </xf>
    <xf borderId="5" fillId="0" fontId="19" numFmtId="0" xfId="0" applyAlignment="1" applyBorder="1" applyFont="1">
      <alignment horizontal="right" vertical="bottom"/>
    </xf>
    <xf borderId="4" fillId="0" fontId="19" numFmtId="0" xfId="0" applyAlignment="1" applyBorder="1" applyFont="1">
      <alignment horizontal="right" vertical="bottom"/>
    </xf>
    <xf borderId="14" fillId="0" fontId="19" numFmtId="0" xfId="0" applyAlignment="1" applyBorder="1" applyFont="1">
      <alignment horizontal="right" vertical="bottom"/>
    </xf>
    <xf borderId="5" fillId="0" fontId="7" numFmtId="0" xfId="0" applyAlignment="1" applyBorder="1" applyFont="1">
      <alignment horizontal="right" vertical="bottom"/>
    </xf>
    <xf borderId="6" fillId="0" fontId="19" numFmtId="0" xfId="0" applyAlignment="1" applyBorder="1" applyFont="1">
      <alignment horizontal="right" vertical="bottom"/>
    </xf>
    <xf borderId="15" fillId="0" fontId="7" numFmtId="0" xfId="0" applyAlignment="1" applyBorder="1" applyFont="1">
      <alignment horizontal="right" vertical="bottom"/>
    </xf>
    <xf borderId="8" fillId="0" fontId="19" numFmtId="0" xfId="0" applyAlignment="1" applyBorder="1" applyFont="1">
      <alignment vertical="bottom"/>
    </xf>
    <xf borderId="1" fillId="0" fontId="19" numFmtId="0" xfId="0" applyAlignment="1" applyBorder="1" applyFont="1">
      <alignment horizontal="right" vertical="bottom"/>
    </xf>
    <xf borderId="11" fillId="0" fontId="19" numFmtId="0" xfId="0" applyAlignment="1" applyBorder="1" applyFont="1">
      <alignment vertical="bottom"/>
    </xf>
    <xf borderId="9" fillId="0" fontId="19" numFmtId="0" xfId="0" applyAlignment="1" applyBorder="1" applyFont="1">
      <alignment horizontal="right" vertical="bottom"/>
    </xf>
    <xf borderId="13" fillId="0" fontId="7" numFmtId="0" xfId="0" applyAlignment="1" applyBorder="1" applyFont="1">
      <alignment horizontal="right" vertical="bottom"/>
    </xf>
    <xf borderId="0" fillId="4" fontId="1" numFmtId="0" xfId="0" applyFont="1"/>
    <xf borderId="0" fillId="0" fontId="1" numFmtId="0" xfId="0" applyFont="1"/>
    <xf borderId="0" fillId="6" fontId="1" numFmtId="0" xfId="0" applyFont="1"/>
    <xf borderId="1" fillId="0" fontId="19" numFmtId="0" xfId="0" applyAlignment="1" applyBorder="1" applyFont="1">
      <alignment vertical="bottom"/>
    </xf>
    <xf borderId="15" fillId="0" fontId="19" numFmtId="0" xfId="0" applyAlignment="1" applyBorder="1" applyFont="1">
      <alignment vertical="bottom"/>
    </xf>
    <xf borderId="8" fillId="0" fontId="19" numFmtId="0" xfId="0" applyAlignment="1" applyBorder="1" applyFont="1">
      <alignment horizontal="right" vertical="bottom"/>
    </xf>
    <xf borderId="15" fillId="0" fontId="1" numFmtId="0" xfId="0" applyBorder="1" applyFont="1"/>
    <xf borderId="11" fillId="0" fontId="1" numFmtId="0" xfId="0" applyBorder="1" applyFont="1"/>
    <xf borderId="10" fillId="0" fontId="1" numFmtId="0" xfId="0" applyBorder="1" applyFont="1"/>
    <xf borderId="13" fillId="0" fontId="1" numFmtId="0" xfId="0" applyBorder="1" applyFont="1"/>
    <xf borderId="0" fillId="0" fontId="19" numFmtId="0" xfId="0" applyAlignment="1" applyFont="1">
      <alignment vertical="bottom"/>
    </xf>
    <xf borderId="0" fillId="11" fontId="1" numFmtId="0" xfId="0" applyAlignment="1" applyFont="1">
      <alignment readingOrder="0"/>
    </xf>
  </cellXfs>
  <cellStyles count="1">
    <cellStyle xfId="0" name="Normal" builtinId="0"/>
  </cellStyles>
  <dxfs count="11">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F3F3F3"/>
          <bgColor rgb="FFF3F3F3"/>
        </patternFill>
      </fill>
      <border/>
    </dxf>
    <dxf>
      <font/>
      <fill>
        <patternFill patternType="solid">
          <fgColor theme="7"/>
          <bgColor theme="7"/>
        </patternFill>
      </fill>
      <border/>
    </dxf>
    <dxf>
      <font>
        <color rgb="FF000000"/>
      </font>
      <fill>
        <patternFill patternType="solid">
          <fgColor theme="5"/>
          <bgColor theme="5"/>
        </patternFill>
      </fill>
      <border/>
    </dxf>
    <dxf>
      <font/>
      <fill>
        <patternFill patternType="solid">
          <fgColor theme="5"/>
          <bgColor theme="5"/>
        </patternFill>
      </fill>
      <border/>
    </dxf>
    <dxf>
      <font>
        <color rgb="FF000000"/>
      </font>
      <fill>
        <patternFill patternType="solid">
          <fgColor rgb="FF3C78D8"/>
          <bgColor rgb="FF3C78D8"/>
        </patternFill>
      </fill>
      <border/>
    </dxf>
    <dxf>
      <font>
        <color rgb="FF000000"/>
      </font>
      <fill>
        <patternFill patternType="solid">
          <fgColor rgb="FF6FA8DC"/>
          <bgColor rgb="FF6FA8DC"/>
        </patternFill>
      </fill>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2" pivot="0" name="VOLUNTEER MASTER DOC-style">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62" displayName="Form_Responses" name="Form_Responses" id="1">
  <autoFilter ref="$A$1:$AA$62"/>
  <tableColumns count="27">
    <tableColumn name="Timestamp" id="1"/>
    <tableColumn name="Email Address" id="2"/>
    <tableColumn name="First name" id="3"/>
    <tableColumn name="Last Name" id="4"/>
    <tableColumn name="Phone #:" id="5"/>
    <tableColumn name="Age" id="6"/>
    <tableColumn name="Shirt Size" id="7"/>
    <tableColumn name="Current Grade" id="8"/>
    <tableColumn name="School" id="9"/>
    <tableColumn name="Check the dates you can teach:" id="10"/>
    <tableColumn name="Why would you like to volunteer with Steel City Codes? (2-3 Sentences)" id="11"/>
    <tableColumn name="Have you volunteered at a previous Steel City Codes activity?" id="12"/>
    <tableColumn name="What CS languages do you know?" id="13"/>
    <tableColumn name="Have you taken any computer science classes? If so, please list them." id="14"/>
    <tableColumn name="Please include any experiences you've had working with children or volunteering in a few bullet points. " id="15"/>
    <tableColumn name="Please rank your skill level in Python:" id="16"/>
    <tableColumn name="Please rank your skill level in Java:" id="17"/>
    <tableColumn name="Please rank your skill level in HTML:" id="18"/>
    <tableColumn name="Please rank your skill level in CSS:" id="19"/>
    <tableColumn name="Please rank your skill level in JavaScript:" id="20"/>
    <tableColumn name="Please rank your skill level in Microcontrollers/CircuitPython:" id="21"/>
    <tableColumn name="What is your FIRST choice course to teach?" id="22"/>
    <tableColumn name="What is your SECOND choice course to teach?" id="23"/>
    <tableColumn name="What other curriculums would you be able to teach? You can respond with anything you are comfortable with (i.e. Game Development, Processing Graphics, Green Foot)." id="24"/>
    <tableColumn name="Volunteer Confirmation" id="25"/>
    <tableColumn name="Parent/Guardian Confirmation (if under 18)" id="26"/>
    <tableColumn name="Interview Registration Link: _x000a__x000a_I have signed up for an interview date." id="27"/>
  </tableColumns>
  <tableStyleInfo name="Form Responses 1-style" showColumnStripes="0" showFirstColumn="1" showLastColumn="1" showRowStripes="1"/>
</table>
</file>

<file path=xl/tables/table2.xml><?xml version="1.0" encoding="utf-8"?>
<table xmlns="http://schemas.openxmlformats.org/spreadsheetml/2006/main" headerRowCount="0" ref="A5:Y54" displayName="Table_1" name="Table_1" id="2">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VOLUNTEER MASTER DO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bFoJ2VpG561k6ZUR5vclbL_Gs8a7KVAS3X6Am6SJeO4/edit?usp=sharing" TargetMode="External"/><Relationship Id="rId42" Type="http://schemas.openxmlformats.org/officeDocument/2006/relationships/hyperlink" Target="https://docs.google.com/document/d/1G1faGMrEJXDu8bxeOj2vBYHcINTsazrfby_zlqj3rYY/edit?usp=sharing" TargetMode="External"/><Relationship Id="rId41" Type="http://schemas.openxmlformats.org/officeDocument/2006/relationships/hyperlink" Target="https://docs.google.com/document/d/1LjiCKlbuEHLfUV0_syeVDAdCh6wiJoMHt71KhjjfPLM/edit?tab=t.0" TargetMode="External"/><Relationship Id="rId44" Type="http://schemas.openxmlformats.org/officeDocument/2006/relationships/hyperlink" Target="https://docs.google.com/document/d/1DbtIGrKVe8UPLpstG5k0cT16SdQGB1yqnCe9crtMzms/edit?usp=sharing" TargetMode="External"/><Relationship Id="rId43" Type="http://schemas.openxmlformats.org/officeDocument/2006/relationships/hyperlink" Target="https://docs.google.com/document/d/1Qcs9yROiS2Mw8m-CuLNn0x-8NZNa_7tLRmaqs_yBQGo/edit?usp=sharing" TargetMode="External"/><Relationship Id="rId46" Type="http://schemas.openxmlformats.org/officeDocument/2006/relationships/hyperlink" Target="https://docs.google.com/document/d/1Faapr0I9eyya4xeHtszAapjNFRz9nFzAJHoNMXra9Z8/edit?usp=sharing" TargetMode="External"/><Relationship Id="rId45" Type="http://schemas.openxmlformats.org/officeDocument/2006/relationships/hyperlink" Target="https://docs.google.com/document/d/15C38bs0keieXtcH11Of_P9adbrD6Pu_nJigk48xycrM/edit?usp=sharing" TargetMode="External"/><Relationship Id="rId1" Type="http://schemas.openxmlformats.org/officeDocument/2006/relationships/hyperlink" Target="https://docs.google.com/document/d/1DbxcmpjmtWxOBLHMgzaPVG8d66wvnCO8Oq8bI1IcLJQ/edit?usp=sharing" TargetMode="External"/><Relationship Id="rId2" Type="http://schemas.openxmlformats.org/officeDocument/2006/relationships/hyperlink" Target="https://docs.google.com/document/d/1_Qh8xk2Ios_j3HLuM7pUjvpfhQo79WeJP9gOMoFx8r0/edit?tab=t.0" TargetMode="External"/><Relationship Id="rId3" Type="http://schemas.openxmlformats.org/officeDocument/2006/relationships/hyperlink" Target="https://docs.google.com/document/d/1Y7taSmveZVtYZsBtbYGSDhiAyG9cuB3eNU4JF9vE0aA/edit?tab=t.0" TargetMode="External"/><Relationship Id="rId4" Type="http://schemas.openxmlformats.org/officeDocument/2006/relationships/hyperlink" Target="https://docs.google.com/document/d/1qRx_4GzwvPrpFTQpSRyxyorNwT2QX6LH3jSs1exmJ9Y/edit?usp=sharing" TargetMode="External"/><Relationship Id="rId9" Type="http://schemas.openxmlformats.org/officeDocument/2006/relationships/hyperlink" Target="https://docs.google.com/document/d/1Nl-6aP6ZzmLvkwOel5MyAsxiRITX6DzlJ_zE0H-5PfQ/edit?tab=t.0" TargetMode="External"/><Relationship Id="rId48" Type="http://schemas.openxmlformats.org/officeDocument/2006/relationships/hyperlink" Target="https://docs.google.com/document/d/1bbJw8F4D6_GvhqY0FeUltAe-K0Pm97O-RAVYX-mWpXI/edit?usp=sharing" TargetMode="External"/><Relationship Id="rId47" Type="http://schemas.openxmlformats.org/officeDocument/2006/relationships/hyperlink" Target="https://docs.google.com/document/d/1cRWOr7aG9mOidc8KA7TRyGFgWZBbjuZfjdAuLTTpEks/edit?usp=sharing" TargetMode="External"/><Relationship Id="rId49" Type="http://schemas.openxmlformats.org/officeDocument/2006/relationships/hyperlink" Target="https://docs.google.com/document/d/1kaan-FCx4GUQoHQOMh9X7xWDU1_zN2HdBgTm7SsNhyQ/edit?usp=sharing" TargetMode="External"/><Relationship Id="rId5" Type="http://schemas.openxmlformats.org/officeDocument/2006/relationships/hyperlink" Target="https://docs.google.com/document/d/1OsjN6U1V68L7VsSrQzH34wPpCa1G3uwoSRUM9K3Yvas/edit?usp=sharing" TargetMode="External"/><Relationship Id="rId6" Type="http://schemas.openxmlformats.org/officeDocument/2006/relationships/hyperlink" Target="https://docs.google.com/document/d/1tPCwREloMS9jraiWD9B8O57Cy9qjn44BxUoZ6x6NzO0/edit?usp=sharing" TargetMode="External"/><Relationship Id="rId7" Type="http://schemas.openxmlformats.org/officeDocument/2006/relationships/hyperlink" Target="https://docs.google.com/document/d/1j75KlkTYAB6Rm23flp322lxWkh3-EsU8HzHyLsnbrSA/edit?tab=t.0" TargetMode="External"/><Relationship Id="rId8" Type="http://schemas.openxmlformats.org/officeDocument/2006/relationships/hyperlink" Target="https://docs.google.com/document/d/1hoFdmb5qRLDM0-W_0DEEnlRNQ7QdjNWx3OKt6t1qdkg/edit?tab=t.0" TargetMode="External"/><Relationship Id="rId31" Type="http://schemas.openxmlformats.org/officeDocument/2006/relationships/hyperlink" Target="https://docs.google.com/document/d/129UuEe9FhhI5NAXY0YIEOAi_vGITc8YqKqLBvUB__Yg/edit?usp=sharing" TargetMode="External"/><Relationship Id="rId30" Type="http://schemas.openxmlformats.org/officeDocument/2006/relationships/hyperlink" Target="https://docs.google.com/document/d/1C0ENb37h0aqQ0Yp9VfPDMxAZoJ6K-6t_Hp3A3-F13co/edit?tab=t.0" TargetMode="External"/><Relationship Id="rId33" Type="http://schemas.openxmlformats.org/officeDocument/2006/relationships/hyperlink" Target="https://docs.google.com/document/d/1KDDrl7FuJ7NfYoH46MeLhvunauTCeFkx21100tmiE6k/edit?usp=sharing" TargetMode="External"/><Relationship Id="rId32" Type="http://schemas.openxmlformats.org/officeDocument/2006/relationships/hyperlink" Target="https://docs.google.com/document/d/18V6NQ3Vl2MQmyMb9704HqPWNswD3ey5mHakLZqID6Ug/edit?tab=t.0" TargetMode="External"/><Relationship Id="rId35" Type="http://schemas.openxmlformats.org/officeDocument/2006/relationships/hyperlink" Target="https://docs.google.com/document/d/1dkPSJ3wMDBA-WbEOXWvBaVYSoJYsDZncfUA3cwvzVsA/edit?tab=t.0" TargetMode="External"/><Relationship Id="rId34" Type="http://schemas.openxmlformats.org/officeDocument/2006/relationships/hyperlink" Target="https://docs.google.com/document/d/1-7y_HP9BZrrDtCcqFzjynvNHqkAF9WYb9oOppQEBIlE/edit?usp=sharing" TargetMode="External"/><Relationship Id="rId37" Type="http://schemas.openxmlformats.org/officeDocument/2006/relationships/hyperlink" Target="https://docs.google.com/document/d/1U1742Bgg2QAXZtwgt9pqCo5_Vndx7U-JW-zELerpmfY/edit?usp=sharing" TargetMode="External"/><Relationship Id="rId36" Type="http://schemas.openxmlformats.org/officeDocument/2006/relationships/hyperlink" Target="https://docs.google.com/document/d/1VT6hUqhnXOA3k-Gkcu5oGCK1uXEHvv01aOFzaLu2zgw/edit?tab=t.0" TargetMode="External"/><Relationship Id="rId39" Type="http://schemas.openxmlformats.org/officeDocument/2006/relationships/hyperlink" Target="https://docs.google.com/document/d/1QaBh30myhAl5FEJDqCNqyiEEachjGF3xUgHFfYbUE6E/edit?tab=t.0" TargetMode="External"/><Relationship Id="rId38" Type="http://schemas.openxmlformats.org/officeDocument/2006/relationships/hyperlink" Target="https://docs.google.com/document/d/1qFo71yU9MJ-5zH6bErIxiotIm_7kkrxwrcu3GgvB7uM/edit?usp=sharing" TargetMode="External"/><Relationship Id="rId20" Type="http://schemas.openxmlformats.org/officeDocument/2006/relationships/hyperlink" Target="https://docs.google.com/document/d/1hLNtahQshVOJnUYPVJMjOlndHyuHrUfQi6RV_6glqHc/edit?usp=sharing" TargetMode="External"/><Relationship Id="rId22" Type="http://schemas.openxmlformats.org/officeDocument/2006/relationships/hyperlink" Target="https://docs.google.com/document/d/14tdutIINANDdMAVC7BMQ6Upmx7e2wU9odOFxc_L9Lpg/edit?usp=sharing" TargetMode="External"/><Relationship Id="rId21" Type="http://schemas.openxmlformats.org/officeDocument/2006/relationships/hyperlink" Target="https://docs.google.com/document/d/1cDzlF0sZWsdHAEnMFPtOBnfsniBARkYcOqlXk_kIJz4/edit?usp=sharing" TargetMode="External"/><Relationship Id="rId24" Type="http://schemas.openxmlformats.org/officeDocument/2006/relationships/hyperlink" Target="https://docs.google.com/document/d/1coh3jyBaTR9IsUz0eJMWaMRKadv6IgocHxK9XCCBQL0/edit?usp=sharing" TargetMode="External"/><Relationship Id="rId23" Type="http://schemas.openxmlformats.org/officeDocument/2006/relationships/hyperlink" Target="https://docs.google.com/document/d/1TPqAYk_pIvJQosw5-Ik15GEHO4coglpeMWR1kMOUM3w/edit?usp=sharing" TargetMode="External"/><Relationship Id="rId26" Type="http://schemas.openxmlformats.org/officeDocument/2006/relationships/hyperlink" Target="https://docs.google.com/document/d/1xFYy4xQY-jSIspf05OCautVxWrVm0CLUlisWRzo9Tzw/edit?usp=sharing" TargetMode="External"/><Relationship Id="rId25" Type="http://schemas.openxmlformats.org/officeDocument/2006/relationships/hyperlink" Target="https://docs.google.com/document/d/189Ixz6TEqK6uA9HXGiAHhOIKJ1Pnk8vY5jsmctydU2o/edit?tab=t.0" TargetMode="External"/><Relationship Id="rId28" Type="http://schemas.openxmlformats.org/officeDocument/2006/relationships/hyperlink" Target="https://docs.google.com/document/d/17N_XK-F3WssG0iCXDuj7rsrsqG43o_jMDnFtrfn7c90/edit?usp=sharing" TargetMode="External"/><Relationship Id="rId27" Type="http://schemas.openxmlformats.org/officeDocument/2006/relationships/hyperlink" Target="https://docs.google.com/document/d/1jtn6btvEyHfeHb1ytGNnjVxDFCIfYSEtUDNzJeg8PnQ/edit?tab=t.0" TargetMode="External"/><Relationship Id="rId29" Type="http://schemas.openxmlformats.org/officeDocument/2006/relationships/hyperlink" Target="https://docs.google.com/document/d/1b8vtu-2k3IS4dvvU3f9d8XYEo90_aDFDn-RklDRci0I/edit?usp=sharing" TargetMode="External"/><Relationship Id="rId50" Type="http://schemas.openxmlformats.org/officeDocument/2006/relationships/drawing" Target="../drawings/drawing2.xml"/><Relationship Id="rId11" Type="http://schemas.openxmlformats.org/officeDocument/2006/relationships/hyperlink" Target="https://docs.google.com/document/d/1zouOyuVn3jjojx7Q5oaZvB9kc5oCidqujWNGGVi8uzs/edit?tab=t.0" TargetMode="External"/><Relationship Id="rId10" Type="http://schemas.openxmlformats.org/officeDocument/2006/relationships/hyperlink" Target="https://docs.google.com/document/d/1b3BfAaLAQZOsEvijPvVhRfX6iz1MJBwo_XvwL0Vjld0/edit?usp=sharing" TargetMode="External"/><Relationship Id="rId13" Type="http://schemas.openxmlformats.org/officeDocument/2006/relationships/hyperlink" Target="https://docs.google.com/document/d/1vR6Xwsc3WpntQLUaN4pcQEVmUI3d2KKHrPSVktqsWwo/edit?tab=t.0" TargetMode="External"/><Relationship Id="rId12" Type="http://schemas.openxmlformats.org/officeDocument/2006/relationships/hyperlink" Target="https://docs.google.com/document/d/1s12hdVXl1_Q6TlXAInyrKukm-3dzv2hBiOzUhCmXNSQ/edit?usp=sharing" TargetMode="External"/><Relationship Id="rId15" Type="http://schemas.openxmlformats.org/officeDocument/2006/relationships/hyperlink" Target="https://docs.google.com/document/d/1REvZuLkeKNtheAyTYIRG7KN73c_n0MIBxJjVT1ZmNjs/edit?usp=sharing" TargetMode="External"/><Relationship Id="rId14" Type="http://schemas.openxmlformats.org/officeDocument/2006/relationships/hyperlink" Target="https://docs.google.com/document/d/19pgnviKiu_BEKp0-cI9YUY-Q15aEneiRti5ALw8f1gY/edit?usp=sharing" TargetMode="External"/><Relationship Id="rId17" Type="http://schemas.openxmlformats.org/officeDocument/2006/relationships/hyperlink" Target="https://docs.google.com/document/d/1yQqu6LEDnsUsxdveusr2vGAevvFHgkv298Z3YQNBuN8/edit?usp=sharing" TargetMode="External"/><Relationship Id="rId16" Type="http://schemas.openxmlformats.org/officeDocument/2006/relationships/hyperlink" Target="https://docs.google.com/document/d/1R0f__On6GTlxtW-9zuYsUK5rPPm7AkM9A-CQkNhuHGc/edit?tab=t.0" TargetMode="External"/><Relationship Id="rId19" Type="http://schemas.openxmlformats.org/officeDocument/2006/relationships/hyperlink" Target="https://docs.google.com/document/d/150rZrBg2Qmhbn6n_jadOlKzukMYwNAm9Y9xdtupnz1Y/edit?tab=t.0" TargetMode="External"/><Relationship Id="rId18" Type="http://schemas.openxmlformats.org/officeDocument/2006/relationships/hyperlink" Target="https://docs.google.com/document/d/1hNpfyJUQXG87kIAd6r2c-lGm5jRyZOWLuHwUzUslN0s/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0" width="27.88"/>
    <col customWidth="1" min="11" max="12" width="37.63"/>
    <col customWidth="1" min="13" max="13" width="29.75"/>
    <col customWidth="1" min="14" max="15" width="37.63"/>
    <col customWidth="1" min="16" max="16" width="31.88"/>
    <col customWidth="1" min="17" max="17" width="30.25"/>
    <col customWidth="1" min="18" max="18" width="31.13"/>
    <col customWidth="1" min="19" max="19" width="29.75"/>
    <col customWidth="1" min="20" max="20" width="34.38"/>
    <col customWidth="1" min="21" max="21" width="37.63"/>
    <col customWidth="1" min="22" max="22" width="36.5"/>
    <col customWidth="1" min="23" max="24" width="37.63"/>
    <col customWidth="1" min="25" max="25" width="22.25"/>
    <col customWidth="1" min="26" max="26" width="36.38"/>
    <col customWidth="1" min="27" max="27" width="32.63"/>
    <col customWidth="1" min="28" max="3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22.5" customHeight="1">
      <c r="A2" s="2">
        <v>46095.56502678241</v>
      </c>
      <c r="B2" s="3" t="s">
        <v>27</v>
      </c>
      <c r="C2" s="3" t="s">
        <v>28</v>
      </c>
      <c r="D2" s="3" t="s">
        <v>29</v>
      </c>
      <c r="E2" s="3" t="s">
        <v>30</v>
      </c>
      <c r="F2" s="3">
        <v>16.0</v>
      </c>
      <c r="G2" s="3" t="s">
        <v>31</v>
      </c>
      <c r="H2" s="3" t="s">
        <v>32</v>
      </c>
      <c r="I2" s="3" t="s">
        <v>33</v>
      </c>
      <c r="J2" s="3" t="s">
        <v>34</v>
      </c>
      <c r="K2" s="3" t="s">
        <v>35</v>
      </c>
      <c r="L2" s="3" t="s">
        <v>36</v>
      </c>
      <c r="M2" s="3" t="s">
        <v>37</v>
      </c>
      <c r="N2" s="3" t="s">
        <v>38</v>
      </c>
      <c r="O2" s="3" t="s">
        <v>39</v>
      </c>
      <c r="P2" s="4"/>
      <c r="Q2" s="3">
        <v>3.0</v>
      </c>
      <c r="R2" s="4"/>
      <c r="S2" s="4"/>
      <c r="T2" s="4"/>
      <c r="U2" s="4"/>
      <c r="V2" s="3" t="s">
        <v>40</v>
      </c>
      <c r="W2" s="3" t="s">
        <v>41</v>
      </c>
      <c r="X2" s="4"/>
      <c r="Y2" s="3" t="s">
        <v>42</v>
      </c>
      <c r="Z2" s="3" t="s">
        <v>43</v>
      </c>
      <c r="AA2" s="3" t="s">
        <v>44</v>
      </c>
    </row>
    <row r="3" ht="22.5" customHeight="1">
      <c r="A3" s="2">
        <v>46095.85327194445</v>
      </c>
      <c r="B3" s="3" t="s">
        <v>45</v>
      </c>
      <c r="C3" s="3" t="s">
        <v>46</v>
      </c>
      <c r="D3" s="3" t="s">
        <v>47</v>
      </c>
      <c r="E3" s="3" t="s">
        <v>48</v>
      </c>
      <c r="F3" s="3">
        <v>15.0</v>
      </c>
      <c r="G3" s="3" t="s">
        <v>49</v>
      </c>
      <c r="H3" s="3" t="s">
        <v>32</v>
      </c>
      <c r="I3" s="3" t="s">
        <v>33</v>
      </c>
      <c r="J3" s="3" t="s">
        <v>34</v>
      </c>
      <c r="K3" s="3" t="s">
        <v>50</v>
      </c>
      <c r="L3" s="3" t="s">
        <v>36</v>
      </c>
      <c r="M3" s="3" t="s">
        <v>51</v>
      </c>
      <c r="N3" s="3" t="s">
        <v>52</v>
      </c>
      <c r="O3" s="3" t="s">
        <v>53</v>
      </c>
      <c r="P3" s="3">
        <v>2.0</v>
      </c>
      <c r="Q3" s="3">
        <v>4.0</v>
      </c>
      <c r="R3" s="3">
        <v>3.0</v>
      </c>
      <c r="S3" s="3">
        <v>3.0</v>
      </c>
      <c r="T3" s="3">
        <v>1.0</v>
      </c>
      <c r="U3" s="3">
        <v>1.0</v>
      </c>
      <c r="V3" s="3" t="s">
        <v>40</v>
      </c>
      <c r="W3" s="3" t="s">
        <v>41</v>
      </c>
      <c r="X3" s="3" t="s">
        <v>54</v>
      </c>
      <c r="Y3" s="3" t="s">
        <v>55</v>
      </c>
      <c r="Z3" s="3" t="s">
        <v>56</v>
      </c>
      <c r="AA3" s="3" t="s">
        <v>44</v>
      </c>
    </row>
    <row r="4" ht="22.5" customHeight="1">
      <c r="A4" s="2">
        <v>46103.41274197916</v>
      </c>
      <c r="B4" s="3" t="s">
        <v>57</v>
      </c>
      <c r="C4" s="3" t="s">
        <v>58</v>
      </c>
      <c r="D4" s="3" t="s">
        <v>59</v>
      </c>
      <c r="E4" s="3" t="s">
        <v>60</v>
      </c>
      <c r="F4" s="3">
        <v>15.0</v>
      </c>
      <c r="G4" s="3" t="s">
        <v>49</v>
      </c>
      <c r="H4" s="3" t="s">
        <v>32</v>
      </c>
      <c r="I4" s="3" t="s">
        <v>33</v>
      </c>
      <c r="J4" s="3" t="s">
        <v>61</v>
      </c>
      <c r="K4" s="3" t="s">
        <v>62</v>
      </c>
      <c r="L4" s="3" t="s">
        <v>63</v>
      </c>
      <c r="M4" s="3" t="s">
        <v>64</v>
      </c>
      <c r="N4" s="3" t="s">
        <v>65</v>
      </c>
      <c r="O4" s="3" t="s">
        <v>66</v>
      </c>
      <c r="P4" s="3">
        <v>3.0</v>
      </c>
      <c r="Q4" s="3">
        <v>4.0</v>
      </c>
      <c r="R4" s="3">
        <v>1.0</v>
      </c>
      <c r="S4" s="3">
        <v>1.0</v>
      </c>
      <c r="T4" s="3">
        <v>1.0</v>
      </c>
      <c r="U4" s="3">
        <v>1.0</v>
      </c>
      <c r="V4" s="3" t="s">
        <v>40</v>
      </c>
      <c r="W4" s="3" t="s">
        <v>41</v>
      </c>
      <c r="X4" s="3" t="s">
        <v>67</v>
      </c>
      <c r="Y4" s="3" t="s">
        <v>68</v>
      </c>
      <c r="Z4" s="3" t="s">
        <v>69</v>
      </c>
      <c r="AA4" s="3" t="s">
        <v>44</v>
      </c>
    </row>
    <row r="5" ht="22.5" customHeight="1">
      <c r="A5" s="2">
        <v>46104.68113331019</v>
      </c>
      <c r="B5" s="3" t="s">
        <v>70</v>
      </c>
      <c r="C5" s="3" t="s">
        <v>71</v>
      </c>
      <c r="D5" s="3" t="s">
        <v>72</v>
      </c>
      <c r="E5" s="3">
        <v>7.207515009E9</v>
      </c>
      <c r="F5" s="3">
        <v>15.0</v>
      </c>
      <c r="G5" s="3" t="s">
        <v>73</v>
      </c>
      <c r="H5" s="3" t="s">
        <v>32</v>
      </c>
      <c r="I5" s="3" t="s">
        <v>33</v>
      </c>
      <c r="J5" s="3" t="s">
        <v>34</v>
      </c>
      <c r="K5" s="3" t="s">
        <v>74</v>
      </c>
      <c r="L5" s="3" t="s">
        <v>36</v>
      </c>
      <c r="M5" s="3" t="s">
        <v>37</v>
      </c>
      <c r="N5" s="3" t="s">
        <v>75</v>
      </c>
      <c r="O5" s="3" t="s">
        <v>76</v>
      </c>
      <c r="P5" s="3">
        <v>2.0</v>
      </c>
      <c r="Q5" s="3">
        <v>5.0</v>
      </c>
      <c r="R5" s="3">
        <v>1.0</v>
      </c>
      <c r="S5" s="4"/>
      <c r="T5" s="3">
        <v>1.0</v>
      </c>
      <c r="U5" s="3">
        <v>2.0</v>
      </c>
      <c r="V5" s="3" t="s">
        <v>41</v>
      </c>
      <c r="W5" s="3" t="s">
        <v>40</v>
      </c>
      <c r="X5" s="3" t="s">
        <v>77</v>
      </c>
      <c r="Y5" s="3" t="s">
        <v>78</v>
      </c>
      <c r="Z5" s="3" t="s">
        <v>79</v>
      </c>
      <c r="AA5" s="3" t="s">
        <v>44</v>
      </c>
    </row>
    <row r="6" ht="22.5" customHeight="1">
      <c r="A6" s="2">
        <v>46104.89745650463</v>
      </c>
      <c r="B6" s="3" t="s">
        <v>80</v>
      </c>
      <c r="C6" s="3" t="s">
        <v>81</v>
      </c>
      <c r="D6" s="3" t="s">
        <v>82</v>
      </c>
      <c r="E6" s="3" t="s">
        <v>83</v>
      </c>
      <c r="F6" s="3">
        <v>15.0</v>
      </c>
      <c r="G6" s="3" t="s">
        <v>49</v>
      </c>
      <c r="H6" s="3" t="s">
        <v>32</v>
      </c>
      <c r="I6" s="3" t="s">
        <v>33</v>
      </c>
      <c r="J6" s="3" t="s">
        <v>34</v>
      </c>
      <c r="K6" s="3" t="s">
        <v>84</v>
      </c>
      <c r="L6" s="3" t="s">
        <v>63</v>
      </c>
      <c r="M6" s="3" t="s">
        <v>37</v>
      </c>
      <c r="N6" s="3" t="s">
        <v>85</v>
      </c>
      <c r="O6" s="3" t="s">
        <v>86</v>
      </c>
      <c r="P6" s="4"/>
      <c r="Q6" s="3">
        <v>4.0</v>
      </c>
      <c r="R6" s="4"/>
      <c r="S6" s="4"/>
      <c r="T6" s="4"/>
      <c r="U6" s="4"/>
      <c r="V6" s="3" t="s">
        <v>40</v>
      </c>
      <c r="W6" s="3" t="s">
        <v>41</v>
      </c>
      <c r="X6" s="3" t="s">
        <v>87</v>
      </c>
      <c r="Y6" s="3" t="s">
        <v>88</v>
      </c>
      <c r="Z6" s="3" t="s">
        <v>89</v>
      </c>
      <c r="AA6" s="3" t="s">
        <v>44</v>
      </c>
    </row>
    <row r="7" ht="22.5" customHeight="1">
      <c r="A7" s="2">
        <v>46106.67641005787</v>
      </c>
      <c r="B7" s="3" t="s">
        <v>90</v>
      </c>
      <c r="C7" s="3" t="s">
        <v>91</v>
      </c>
      <c r="D7" s="3" t="s">
        <v>92</v>
      </c>
      <c r="E7" s="3">
        <v>3.609661681E9</v>
      </c>
      <c r="F7" s="3">
        <v>16.0</v>
      </c>
      <c r="G7" s="3" t="s">
        <v>31</v>
      </c>
      <c r="H7" s="3" t="s">
        <v>32</v>
      </c>
      <c r="I7" s="3" t="s">
        <v>33</v>
      </c>
      <c r="J7" s="3" t="s">
        <v>34</v>
      </c>
      <c r="K7" s="3" t="s">
        <v>93</v>
      </c>
      <c r="L7" s="3" t="s">
        <v>63</v>
      </c>
      <c r="M7" s="3" t="s">
        <v>64</v>
      </c>
      <c r="N7" s="3" t="s">
        <v>94</v>
      </c>
      <c r="O7" s="3" t="s">
        <v>95</v>
      </c>
      <c r="P7" s="3">
        <v>1.0</v>
      </c>
      <c r="Q7" s="3">
        <v>3.0</v>
      </c>
      <c r="R7" s="4"/>
      <c r="S7" s="4"/>
      <c r="T7" s="4"/>
      <c r="U7" s="4"/>
      <c r="V7" s="3" t="s">
        <v>40</v>
      </c>
      <c r="W7" s="3" t="s">
        <v>96</v>
      </c>
      <c r="X7" s="3" t="s">
        <v>97</v>
      </c>
      <c r="Y7" s="3" t="s">
        <v>98</v>
      </c>
      <c r="Z7" s="3" t="s">
        <v>99</v>
      </c>
      <c r="AA7" s="3" t="s">
        <v>44</v>
      </c>
    </row>
    <row r="8" ht="22.5" customHeight="1">
      <c r="A8" s="2">
        <v>46106.896990787034</v>
      </c>
      <c r="B8" s="3" t="s">
        <v>100</v>
      </c>
      <c r="C8" s="3" t="s">
        <v>101</v>
      </c>
      <c r="D8" s="3" t="s">
        <v>102</v>
      </c>
      <c r="E8" s="3" t="s">
        <v>103</v>
      </c>
      <c r="F8" s="3">
        <v>15.0</v>
      </c>
      <c r="G8" s="3" t="s">
        <v>49</v>
      </c>
      <c r="H8" s="3" t="s">
        <v>32</v>
      </c>
      <c r="I8" s="3" t="s">
        <v>33</v>
      </c>
      <c r="J8" s="3" t="s">
        <v>61</v>
      </c>
      <c r="K8" s="3" t="s">
        <v>104</v>
      </c>
      <c r="L8" s="3" t="s">
        <v>36</v>
      </c>
      <c r="M8" s="3" t="s">
        <v>64</v>
      </c>
      <c r="N8" s="4"/>
      <c r="O8" s="3" t="s">
        <v>105</v>
      </c>
      <c r="P8" s="3">
        <v>4.0</v>
      </c>
      <c r="Q8" s="3">
        <v>2.0</v>
      </c>
      <c r="R8" s="3">
        <v>1.0</v>
      </c>
      <c r="S8" s="3">
        <v>1.0</v>
      </c>
      <c r="T8" s="3">
        <v>1.0</v>
      </c>
      <c r="U8" s="3">
        <v>1.0</v>
      </c>
      <c r="V8" s="3" t="s">
        <v>96</v>
      </c>
      <c r="W8" s="3" t="s">
        <v>106</v>
      </c>
      <c r="X8" s="4"/>
      <c r="Y8" s="3" t="s">
        <v>107</v>
      </c>
      <c r="Z8" s="3" t="s">
        <v>108</v>
      </c>
      <c r="AA8" s="3" t="s">
        <v>44</v>
      </c>
    </row>
    <row r="9" ht="22.5" customHeight="1">
      <c r="A9" s="2">
        <v>46106.90848383102</v>
      </c>
      <c r="B9" s="3" t="s">
        <v>109</v>
      </c>
      <c r="C9" s="3" t="s">
        <v>110</v>
      </c>
      <c r="D9" s="3" t="s">
        <v>111</v>
      </c>
      <c r="E9" s="3" t="s">
        <v>112</v>
      </c>
      <c r="F9" s="3">
        <v>16.0</v>
      </c>
      <c r="G9" s="3" t="s">
        <v>49</v>
      </c>
      <c r="H9" s="3" t="s">
        <v>32</v>
      </c>
      <c r="I9" s="3" t="s">
        <v>33</v>
      </c>
      <c r="J9" s="3" t="s">
        <v>34</v>
      </c>
      <c r="K9" s="3" t="s">
        <v>113</v>
      </c>
      <c r="L9" s="3" t="s">
        <v>36</v>
      </c>
      <c r="M9" s="3" t="s">
        <v>114</v>
      </c>
      <c r="N9" s="3" t="s">
        <v>115</v>
      </c>
      <c r="O9" s="3" t="s">
        <v>116</v>
      </c>
      <c r="P9" s="3">
        <v>4.0</v>
      </c>
      <c r="Q9" s="3">
        <v>5.0</v>
      </c>
      <c r="R9" s="3">
        <v>3.0</v>
      </c>
      <c r="S9" s="3">
        <v>2.0</v>
      </c>
      <c r="T9" s="3">
        <v>2.0</v>
      </c>
      <c r="U9" s="4"/>
      <c r="V9" s="3" t="s">
        <v>40</v>
      </c>
      <c r="W9" s="3" t="s">
        <v>96</v>
      </c>
      <c r="X9" s="3" t="s">
        <v>117</v>
      </c>
      <c r="Y9" s="3" t="s">
        <v>118</v>
      </c>
      <c r="Z9" s="3" t="s">
        <v>119</v>
      </c>
      <c r="AA9" s="3" t="s">
        <v>44</v>
      </c>
    </row>
    <row r="10" ht="22.5" customHeight="1">
      <c r="A10" s="2">
        <v>46106.98863087963</v>
      </c>
      <c r="B10" s="3" t="s">
        <v>120</v>
      </c>
      <c r="C10" s="3" t="s">
        <v>121</v>
      </c>
      <c r="D10" s="3" t="s">
        <v>122</v>
      </c>
      <c r="E10" s="3">
        <v>3.034950807E9</v>
      </c>
      <c r="F10" s="3">
        <v>16.0</v>
      </c>
      <c r="G10" s="3" t="s">
        <v>31</v>
      </c>
      <c r="H10" s="3" t="s">
        <v>32</v>
      </c>
      <c r="I10" s="3" t="s">
        <v>33</v>
      </c>
      <c r="J10" s="3" t="s">
        <v>34</v>
      </c>
      <c r="K10" s="3" t="s">
        <v>123</v>
      </c>
      <c r="L10" s="3" t="s">
        <v>36</v>
      </c>
      <c r="M10" s="3" t="s">
        <v>64</v>
      </c>
      <c r="N10" s="3" t="s">
        <v>124</v>
      </c>
      <c r="O10" s="3" t="s">
        <v>125</v>
      </c>
      <c r="P10" s="3">
        <v>1.0</v>
      </c>
      <c r="Q10" s="3">
        <v>3.0</v>
      </c>
      <c r="R10" s="4"/>
      <c r="S10" s="4"/>
      <c r="T10" s="4"/>
      <c r="U10" s="4"/>
      <c r="V10" s="3" t="s">
        <v>40</v>
      </c>
      <c r="W10" s="3" t="s">
        <v>96</v>
      </c>
      <c r="X10" s="3" t="s">
        <v>126</v>
      </c>
      <c r="Y10" s="3" t="s">
        <v>127</v>
      </c>
      <c r="Z10" s="3" t="s">
        <v>128</v>
      </c>
      <c r="AA10" s="3" t="s">
        <v>44</v>
      </c>
    </row>
    <row r="11" ht="22.5" customHeight="1">
      <c r="A11" s="2">
        <v>46107.3686053125</v>
      </c>
      <c r="B11" s="3" t="s">
        <v>129</v>
      </c>
      <c r="C11" s="3" t="s">
        <v>130</v>
      </c>
      <c r="D11" s="3" t="s">
        <v>131</v>
      </c>
      <c r="E11" s="3">
        <v>7.202919949E9</v>
      </c>
      <c r="F11" s="3">
        <v>15.0</v>
      </c>
      <c r="G11" s="3" t="s">
        <v>73</v>
      </c>
      <c r="H11" s="3" t="s">
        <v>32</v>
      </c>
      <c r="I11" s="3" t="s">
        <v>33</v>
      </c>
      <c r="J11" s="3" t="s">
        <v>132</v>
      </c>
      <c r="K11" s="3" t="s">
        <v>133</v>
      </c>
      <c r="L11" s="3" t="s">
        <v>63</v>
      </c>
      <c r="M11" s="3" t="s">
        <v>134</v>
      </c>
      <c r="N11" s="3" t="s">
        <v>135</v>
      </c>
      <c r="O11" s="3" t="s">
        <v>136</v>
      </c>
      <c r="P11" s="3">
        <v>3.0</v>
      </c>
      <c r="Q11" s="3">
        <v>4.0</v>
      </c>
      <c r="R11" s="3">
        <v>3.0</v>
      </c>
      <c r="S11" s="3">
        <v>1.0</v>
      </c>
      <c r="T11" s="3">
        <v>2.0</v>
      </c>
      <c r="U11" s="3">
        <v>1.0</v>
      </c>
      <c r="V11" s="3" t="s">
        <v>41</v>
      </c>
      <c r="W11" s="3" t="s">
        <v>40</v>
      </c>
      <c r="X11" s="3" t="s">
        <v>137</v>
      </c>
      <c r="Y11" s="3" t="s">
        <v>138</v>
      </c>
      <c r="Z11" s="3" t="s">
        <v>139</v>
      </c>
      <c r="AA11" s="3" t="s">
        <v>44</v>
      </c>
    </row>
    <row r="12" ht="22.5" customHeight="1">
      <c r="A12" s="2">
        <v>46112.86883503472</v>
      </c>
      <c r="B12" s="3" t="s">
        <v>140</v>
      </c>
      <c r="C12" s="3" t="s">
        <v>141</v>
      </c>
      <c r="D12" s="3" t="s">
        <v>142</v>
      </c>
      <c r="E12" s="3" t="s">
        <v>143</v>
      </c>
      <c r="F12" s="3">
        <v>15.0</v>
      </c>
      <c r="G12" s="3" t="s">
        <v>73</v>
      </c>
      <c r="H12" s="3" t="s">
        <v>32</v>
      </c>
      <c r="I12" s="3" t="s">
        <v>144</v>
      </c>
      <c r="J12" s="3" t="s">
        <v>132</v>
      </c>
      <c r="K12" s="3" t="s">
        <v>145</v>
      </c>
      <c r="L12" s="3" t="s">
        <v>63</v>
      </c>
      <c r="M12" s="3" t="s">
        <v>37</v>
      </c>
      <c r="N12" s="3" t="s">
        <v>146</v>
      </c>
      <c r="O12" s="3" t="s">
        <v>147</v>
      </c>
      <c r="P12" s="3">
        <v>3.0</v>
      </c>
      <c r="Q12" s="3">
        <v>4.0</v>
      </c>
      <c r="R12" s="3">
        <v>2.0</v>
      </c>
      <c r="S12" s="3">
        <v>1.0</v>
      </c>
      <c r="T12" s="3">
        <v>1.0</v>
      </c>
      <c r="U12" s="3">
        <v>1.0</v>
      </c>
      <c r="V12" s="3" t="s">
        <v>40</v>
      </c>
      <c r="W12" s="3" t="s">
        <v>41</v>
      </c>
      <c r="X12" s="3" t="s">
        <v>148</v>
      </c>
      <c r="Y12" s="3" t="s">
        <v>149</v>
      </c>
      <c r="Z12" s="3" t="s">
        <v>150</v>
      </c>
      <c r="AA12" s="3" t="s">
        <v>44</v>
      </c>
    </row>
    <row r="13" ht="22.5" customHeight="1">
      <c r="A13" s="2">
        <v>46114.378740879634</v>
      </c>
      <c r="B13" s="3" t="s">
        <v>151</v>
      </c>
      <c r="C13" s="3" t="s">
        <v>152</v>
      </c>
      <c r="D13" s="3" t="s">
        <v>153</v>
      </c>
      <c r="E13" s="3" t="s">
        <v>154</v>
      </c>
      <c r="F13" s="3">
        <v>15.0</v>
      </c>
      <c r="G13" s="3" t="s">
        <v>31</v>
      </c>
      <c r="H13" s="3" t="s">
        <v>32</v>
      </c>
      <c r="I13" s="3" t="s">
        <v>33</v>
      </c>
      <c r="J13" s="3" t="s">
        <v>34</v>
      </c>
      <c r="K13" s="3" t="s">
        <v>155</v>
      </c>
      <c r="L13" s="3" t="s">
        <v>63</v>
      </c>
      <c r="M13" s="3" t="s">
        <v>156</v>
      </c>
      <c r="N13" s="3" t="s">
        <v>157</v>
      </c>
      <c r="O13" s="3" t="s">
        <v>158</v>
      </c>
      <c r="P13" s="3">
        <v>5.0</v>
      </c>
      <c r="Q13" s="3">
        <v>4.0</v>
      </c>
      <c r="R13" s="3">
        <v>4.0</v>
      </c>
      <c r="S13" s="3">
        <v>3.0</v>
      </c>
      <c r="T13" s="3">
        <v>4.0</v>
      </c>
      <c r="U13" s="3">
        <v>5.0</v>
      </c>
      <c r="V13" s="3" t="s">
        <v>159</v>
      </c>
      <c r="W13" s="3" t="s">
        <v>106</v>
      </c>
      <c r="X13" s="3" t="s">
        <v>160</v>
      </c>
      <c r="Y13" s="3" t="s">
        <v>161</v>
      </c>
      <c r="Z13" s="3" t="s">
        <v>162</v>
      </c>
      <c r="AA13" s="3" t="s">
        <v>44</v>
      </c>
    </row>
    <row r="14" ht="22.5" customHeight="1">
      <c r="A14" s="2">
        <v>46116.86478996528</v>
      </c>
      <c r="B14" s="3" t="s">
        <v>163</v>
      </c>
      <c r="C14" s="3" t="s">
        <v>164</v>
      </c>
      <c r="D14" s="3" t="s">
        <v>165</v>
      </c>
      <c r="E14" s="3" t="s">
        <v>166</v>
      </c>
      <c r="F14" s="3">
        <v>15.0</v>
      </c>
      <c r="G14" s="3" t="s">
        <v>49</v>
      </c>
      <c r="H14" s="3" t="s">
        <v>32</v>
      </c>
      <c r="I14" s="3" t="s">
        <v>144</v>
      </c>
      <c r="J14" s="3" t="s">
        <v>34</v>
      </c>
      <c r="K14" s="3" t="s">
        <v>167</v>
      </c>
      <c r="L14" s="3" t="s">
        <v>36</v>
      </c>
      <c r="M14" s="3" t="s">
        <v>64</v>
      </c>
      <c r="N14" s="3" t="s">
        <v>168</v>
      </c>
      <c r="O14" s="3" t="s">
        <v>169</v>
      </c>
      <c r="P14" s="3">
        <v>4.0</v>
      </c>
      <c r="Q14" s="3">
        <v>5.0</v>
      </c>
      <c r="R14" s="4"/>
      <c r="S14" s="4"/>
      <c r="T14" s="4"/>
      <c r="U14" s="4"/>
      <c r="V14" s="3" t="s">
        <v>40</v>
      </c>
      <c r="W14" s="3" t="s">
        <v>41</v>
      </c>
      <c r="X14" s="3" t="s">
        <v>170</v>
      </c>
      <c r="Y14" s="3" t="s">
        <v>171</v>
      </c>
      <c r="Z14" s="3" t="s">
        <v>172</v>
      </c>
      <c r="AA14" s="3" t="s">
        <v>44</v>
      </c>
    </row>
    <row r="15" ht="22.5" customHeight="1">
      <c r="A15" s="2">
        <v>46116.95082561343</v>
      </c>
      <c r="B15" s="3" t="s">
        <v>173</v>
      </c>
      <c r="C15" s="3" t="s">
        <v>174</v>
      </c>
      <c r="D15" s="3" t="s">
        <v>175</v>
      </c>
      <c r="E15" s="3" t="s">
        <v>176</v>
      </c>
      <c r="F15" s="3">
        <v>16.0</v>
      </c>
      <c r="G15" s="3" t="s">
        <v>49</v>
      </c>
      <c r="H15" s="3" t="s">
        <v>32</v>
      </c>
      <c r="I15" s="3" t="s">
        <v>33</v>
      </c>
      <c r="J15" s="3" t="s">
        <v>34</v>
      </c>
      <c r="K15" s="3" t="s">
        <v>177</v>
      </c>
      <c r="L15" s="3" t="s">
        <v>63</v>
      </c>
      <c r="M15" s="3" t="s">
        <v>178</v>
      </c>
      <c r="N15" s="3" t="s">
        <v>179</v>
      </c>
      <c r="O15" s="3" t="s">
        <v>180</v>
      </c>
      <c r="P15" s="3">
        <v>1.0</v>
      </c>
      <c r="Q15" s="3">
        <v>1.0</v>
      </c>
      <c r="R15" s="3">
        <v>1.0</v>
      </c>
      <c r="S15" s="3">
        <v>1.0</v>
      </c>
      <c r="T15" s="3">
        <v>1.0</v>
      </c>
      <c r="U15" s="3">
        <v>1.0</v>
      </c>
      <c r="V15" s="3" t="s">
        <v>96</v>
      </c>
      <c r="W15" s="3" t="s">
        <v>40</v>
      </c>
      <c r="X15" s="3" t="s">
        <v>181</v>
      </c>
      <c r="Y15" s="3" t="s">
        <v>182</v>
      </c>
      <c r="Z15" s="3" t="s">
        <v>183</v>
      </c>
      <c r="AA15" s="3" t="s">
        <v>44</v>
      </c>
    </row>
    <row r="16" ht="22.5" customHeight="1">
      <c r="A16" s="2">
        <v>46122.71861457176</v>
      </c>
      <c r="B16" s="3" t="s">
        <v>184</v>
      </c>
      <c r="C16" s="3" t="s">
        <v>185</v>
      </c>
      <c r="D16" s="3" t="s">
        <v>186</v>
      </c>
      <c r="E16" s="3" t="s">
        <v>187</v>
      </c>
      <c r="F16" s="3">
        <v>15.0</v>
      </c>
      <c r="G16" s="3" t="s">
        <v>49</v>
      </c>
      <c r="H16" s="3" t="s">
        <v>32</v>
      </c>
      <c r="I16" s="3" t="s">
        <v>33</v>
      </c>
      <c r="J16" s="3" t="s">
        <v>34</v>
      </c>
      <c r="K16" s="3" t="s">
        <v>188</v>
      </c>
      <c r="L16" s="3" t="s">
        <v>63</v>
      </c>
      <c r="M16" s="3" t="s">
        <v>37</v>
      </c>
      <c r="N16" s="3" t="s">
        <v>189</v>
      </c>
      <c r="O16" s="3" t="s">
        <v>190</v>
      </c>
      <c r="P16" s="4"/>
      <c r="Q16" s="3">
        <v>3.0</v>
      </c>
      <c r="R16" s="4"/>
      <c r="S16" s="4"/>
      <c r="T16" s="4"/>
      <c r="U16" s="4"/>
      <c r="V16" s="3" t="s">
        <v>40</v>
      </c>
      <c r="W16" s="3" t="s">
        <v>41</v>
      </c>
      <c r="X16" s="4"/>
      <c r="Y16" s="3" t="s">
        <v>191</v>
      </c>
      <c r="Z16" s="3" t="s">
        <v>192</v>
      </c>
      <c r="AA16" s="3" t="s">
        <v>44</v>
      </c>
    </row>
    <row r="17" ht="22.5" customHeight="1">
      <c r="A17" s="2">
        <v>46126.62701847222</v>
      </c>
      <c r="B17" s="3" t="s">
        <v>193</v>
      </c>
      <c r="C17" s="3" t="s">
        <v>194</v>
      </c>
      <c r="D17" s="3" t="s">
        <v>195</v>
      </c>
      <c r="E17" s="3" t="s">
        <v>196</v>
      </c>
      <c r="F17" s="3">
        <v>16.0</v>
      </c>
      <c r="G17" s="3" t="s">
        <v>197</v>
      </c>
      <c r="H17" s="3" t="s">
        <v>32</v>
      </c>
      <c r="I17" s="3" t="s">
        <v>33</v>
      </c>
      <c r="J17" s="3" t="s">
        <v>132</v>
      </c>
      <c r="K17" s="3" t="s">
        <v>198</v>
      </c>
      <c r="L17" s="3" t="s">
        <v>63</v>
      </c>
      <c r="M17" s="3" t="s">
        <v>181</v>
      </c>
      <c r="N17" s="3" t="s">
        <v>199</v>
      </c>
      <c r="O17" s="3" t="s">
        <v>200</v>
      </c>
      <c r="P17" s="4"/>
      <c r="Q17" s="3">
        <v>3.0</v>
      </c>
      <c r="R17" s="4"/>
      <c r="S17" s="4"/>
      <c r="T17" s="4"/>
      <c r="U17" s="3">
        <v>3.0</v>
      </c>
      <c r="V17" s="3" t="s">
        <v>40</v>
      </c>
      <c r="W17" s="3" t="s">
        <v>41</v>
      </c>
      <c r="X17" s="3" t="s">
        <v>54</v>
      </c>
      <c r="Y17" s="3" t="s">
        <v>201</v>
      </c>
      <c r="Z17" s="3" t="s">
        <v>202</v>
      </c>
      <c r="AA17" s="3" t="s">
        <v>44</v>
      </c>
    </row>
    <row r="18" ht="22.5" customHeight="1">
      <c r="A18" s="2">
        <v>46126.65284289352</v>
      </c>
      <c r="B18" s="3" t="s">
        <v>203</v>
      </c>
      <c r="C18" s="3" t="s">
        <v>204</v>
      </c>
      <c r="D18" s="3" t="s">
        <v>205</v>
      </c>
      <c r="E18" s="3">
        <v>9.707869861E9</v>
      </c>
      <c r="F18" s="3">
        <v>15.0</v>
      </c>
      <c r="G18" s="3" t="s">
        <v>73</v>
      </c>
      <c r="H18" s="3" t="s">
        <v>32</v>
      </c>
      <c r="I18" s="3" t="s">
        <v>33</v>
      </c>
      <c r="J18" s="3" t="s">
        <v>132</v>
      </c>
      <c r="K18" s="3" t="s">
        <v>206</v>
      </c>
      <c r="L18" s="3" t="s">
        <v>63</v>
      </c>
      <c r="M18" s="3" t="s">
        <v>181</v>
      </c>
      <c r="N18" s="3" t="s">
        <v>207</v>
      </c>
      <c r="O18" s="3" t="s">
        <v>208</v>
      </c>
      <c r="P18" s="4"/>
      <c r="Q18" s="4"/>
      <c r="R18" s="4"/>
      <c r="S18" s="4"/>
      <c r="T18" s="4"/>
      <c r="U18" s="4"/>
      <c r="V18" s="3" t="s">
        <v>40</v>
      </c>
      <c r="W18" s="3" t="s">
        <v>106</v>
      </c>
      <c r="X18" s="4"/>
      <c r="Y18" s="3" t="s">
        <v>209</v>
      </c>
      <c r="Z18" s="3" t="s">
        <v>210</v>
      </c>
      <c r="AA18" s="3" t="s">
        <v>44</v>
      </c>
    </row>
    <row r="19" ht="22.5" customHeight="1">
      <c r="A19" s="2">
        <v>46128.457330081015</v>
      </c>
      <c r="B19" s="3" t="s">
        <v>211</v>
      </c>
      <c r="C19" s="3" t="s">
        <v>212</v>
      </c>
      <c r="D19" s="3" t="s">
        <v>213</v>
      </c>
      <c r="E19" s="3" t="s">
        <v>214</v>
      </c>
      <c r="F19" s="3">
        <v>16.0</v>
      </c>
      <c r="G19" s="3" t="s">
        <v>49</v>
      </c>
      <c r="H19" s="3" t="s">
        <v>32</v>
      </c>
      <c r="I19" s="3" t="s">
        <v>33</v>
      </c>
      <c r="J19" s="3" t="s">
        <v>61</v>
      </c>
      <c r="K19" s="3" t="s">
        <v>215</v>
      </c>
      <c r="L19" s="3" t="s">
        <v>63</v>
      </c>
      <c r="M19" s="3" t="s">
        <v>216</v>
      </c>
      <c r="N19" s="3" t="s">
        <v>217</v>
      </c>
      <c r="O19" s="3" t="s">
        <v>218</v>
      </c>
      <c r="P19" s="3">
        <v>3.0</v>
      </c>
      <c r="Q19" s="4"/>
      <c r="R19" s="4"/>
      <c r="S19" s="4"/>
      <c r="T19" s="4"/>
      <c r="U19" s="4"/>
      <c r="V19" s="3" t="s">
        <v>96</v>
      </c>
      <c r="W19" s="3" t="s">
        <v>106</v>
      </c>
      <c r="X19" s="4"/>
      <c r="Y19" s="3" t="s">
        <v>219</v>
      </c>
      <c r="Z19" s="3" t="s">
        <v>220</v>
      </c>
      <c r="AA19" s="3" t="s">
        <v>44</v>
      </c>
    </row>
    <row r="20" ht="22.5" customHeight="1">
      <c r="A20" s="2">
        <v>46131.523068807874</v>
      </c>
      <c r="B20" s="3" t="s">
        <v>221</v>
      </c>
      <c r="C20" s="3" t="s">
        <v>222</v>
      </c>
      <c r="D20" s="3" t="s">
        <v>223</v>
      </c>
      <c r="E20" s="3" t="s">
        <v>224</v>
      </c>
      <c r="F20" s="3">
        <v>16.0</v>
      </c>
      <c r="G20" s="3" t="s">
        <v>31</v>
      </c>
      <c r="H20" s="3" t="s">
        <v>32</v>
      </c>
      <c r="I20" s="3" t="s">
        <v>144</v>
      </c>
      <c r="J20" s="3" t="s">
        <v>34</v>
      </c>
      <c r="K20" s="3" t="s">
        <v>225</v>
      </c>
      <c r="L20" s="3" t="s">
        <v>63</v>
      </c>
      <c r="M20" s="3" t="s">
        <v>37</v>
      </c>
      <c r="N20" s="3" t="s">
        <v>226</v>
      </c>
      <c r="O20" s="3" t="s">
        <v>227</v>
      </c>
      <c r="P20" s="3">
        <v>2.0</v>
      </c>
      <c r="Q20" s="3">
        <v>4.0</v>
      </c>
      <c r="R20" s="3">
        <v>1.0</v>
      </c>
      <c r="S20" s="3">
        <v>1.0</v>
      </c>
      <c r="T20" s="3">
        <v>1.0</v>
      </c>
      <c r="U20" s="3">
        <v>1.0</v>
      </c>
      <c r="V20" s="3" t="s">
        <v>41</v>
      </c>
      <c r="W20" s="3" t="s">
        <v>40</v>
      </c>
      <c r="X20" s="4"/>
      <c r="Y20" s="3" t="s">
        <v>228</v>
      </c>
      <c r="Z20" s="3" t="s">
        <v>229</v>
      </c>
      <c r="AA20" s="3" t="s">
        <v>44</v>
      </c>
    </row>
    <row r="21" ht="22.5" customHeight="1">
      <c r="A21" s="2">
        <v>46132.69374375</v>
      </c>
      <c r="B21" s="3" t="s">
        <v>230</v>
      </c>
      <c r="C21" s="3" t="s">
        <v>231</v>
      </c>
      <c r="D21" s="3" t="s">
        <v>232</v>
      </c>
      <c r="E21" s="3">
        <v>9.832163051E9</v>
      </c>
      <c r="F21" s="3">
        <v>15.0</v>
      </c>
      <c r="G21" s="3" t="s">
        <v>31</v>
      </c>
      <c r="H21" s="3" t="s">
        <v>32</v>
      </c>
      <c r="I21" s="3" t="s">
        <v>33</v>
      </c>
      <c r="J21" s="3" t="s">
        <v>34</v>
      </c>
      <c r="K21" s="3" t="s">
        <v>233</v>
      </c>
      <c r="L21" s="3" t="s">
        <v>63</v>
      </c>
      <c r="M21" s="3" t="s">
        <v>234</v>
      </c>
      <c r="N21" s="3" t="s">
        <v>115</v>
      </c>
      <c r="O21" s="3" t="s">
        <v>235</v>
      </c>
      <c r="P21" s="3">
        <v>4.0</v>
      </c>
      <c r="Q21" s="3">
        <v>5.0</v>
      </c>
      <c r="R21" s="4"/>
      <c r="S21" s="4"/>
      <c r="T21" s="3">
        <v>2.0</v>
      </c>
      <c r="U21" s="4"/>
      <c r="V21" s="3" t="s">
        <v>41</v>
      </c>
      <c r="W21" s="3" t="s">
        <v>40</v>
      </c>
      <c r="X21" s="3" t="s">
        <v>236</v>
      </c>
      <c r="Y21" s="3" t="s">
        <v>231</v>
      </c>
      <c r="Z21" s="3" t="s">
        <v>237</v>
      </c>
      <c r="AA21" s="3" t="s">
        <v>44</v>
      </c>
    </row>
    <row r="22" ht="22.5" customHeight="1">
      <c r="A22" s="2">
        <v>46133.702588726854</v>
      </c>
      <c r="B22" s="3" t="s">
        <v>238</v>
      </c>
      <c r="C22" s="3" t="s">
        <v>239</v>
      </c>
      <c r="D22" s="3" t="s">
        <v>240</v>
      </c>
      <c r="E22" s="3" t="s">
        <v>241</v>
      </c>
      <c r="F22" s="3">
        <v>15.0</v>
      </c>
      <c r="G22" s="3" t="s">
        <v>31</v>
      </c>
      <c r="H22" s="3" t="s">
        <v>32</v>
      </c>
      <c r="I22" s="3" t="s">
        <v>144</v>
      </c>
      <c r="J22" s="3" t="s">
        <v>34</v>
      </c>
      <c r="K22" s="3" t="s">
        <v>242</v>
      </c>
      <c r="L22" s="3" t="s">
        <v>36</v>
      </c>
      <c r="M22" s="3" t="s">
        <v>243</v>
      </c>
      <c r="N22" s="3" t="s">
        <v>244</v>
      </c>
      <c r="O22" s="3" t="s">
        <v>245</v>
      </c>
      <c r="P22" s="3">
        <v>4.0</v>
      </c>
      <c r="Q22" s="3">
        <v>4.0</v>
      </c>
      <c r="R22" s="4"/>
      <c r="S22" s="4"/>
      <c r="T22" s="4"/>
      <c r="U22" s="3">
        <v>4.0</v>
      </c>
      <c r="V22" s="3" t="s">
        <v>106</v>
      </c>
      <c r="W22" s="3" t="s">
        <v>159</v>
      </c>
      <c r="X22" s="3" t="s">
        <v>246</v>
      </c>
      <c r="Y22" s="3" t="s">
        <v>247</v>
      </c>
      <c r="Z22" s="3" t="s">
        <v>248</v>
      </c>
      <c r="AA22" s="3" t="s">
        <v>44</v>
      </c>
    </row>
    <row r="23" ht="22.5" customHeight="1">
      <c r="A23" s="2">
        <v>46137.88957482639</v>
      </c>
      <c r="B23" s="3" t="s">
        <v>249</v>
      </c>
      <c r="C23" s="3" t="s">
        <v>250</v>
      </c>
      <c r="D23" s="3" t="s">
        <v>251</v>
      </c>
      <c r="E23" s="3" t="s">
        <v>252</v>
      </c>
      <c r="F23" s="3">
        <v>15.0</v>
      </c>
      <c r="G23" s="3" t="s">
        <v>73</v>
      </c>
      <c r="H23" s="3" t="s">
        <v>32</v>
      </c>
      <c r="I23" s="3" t="s">
        <v>33</v>
      </c>
      <c r="J23" s="3" t="s">
        <v>132</v>
      </c>
      <c r="K23" s="3" t="s">
        <v>253</v>
      </c>
      <c r="L23" s="3" t="s">
        <v>63</v>
      </c>
      <c r="M23" s="3" t="s">
        <v>37</v>
      </c>
      <c r="N23" s="3" t="s">
        <v>254</v>
      </c>
      <c r="O23" s="3" t="s">
        <v>255</v>
      </c>
      <c r="P23" s="4"/>
      <c r="Q23" s="3">
        <v>5.0</v>
      </c>
      <c r="R23" s="4"/>
      <c r="S23" s="4"/>
      <c r="T23" s="4"/>
      <c r="U23" s="4"/>
      <c r="V23" s="3" t="s">
        <v>40</v>
      </c>
      <c r="W23" s="3" t="s">
        <v>41</v>
      </c>
      <c r="X23" s="4"/>
      <c r="Y23" s="3" t="s">
        <v>256</v>
      </c>
      <c r="Z23" s="3" t="s">
        <v>257</v>
      </c>
      <c r="AA23" s="3" t="s">
        <v>44</v>
      </c>
    </row>
    <row r="24" ht="22.5" customHeight="1">
      <c r="A24" s="2">
        <v>46137.9309078125</v>
      </c>
      <c r="B24" s="3" t="s">
        <v>258</v>
      </c>
      <c r="C24" s="3" t="s">
        <v>259</v>
      </c>
      <c r="D24" s="3" t="s">
        <v>260</v>
      </c>
      <c r="E24" s="3" t="s">
        <v>261</v>
      </c>
      <c r="F24" s="3">
        <v>15.0</v>
      </c>
      <c r="G24" s="3" t="s">
        <v>31</v>
      </c>
      <c r="H24" s="3" t="s">
        <v>32</v>
      </c>
      <c r="I24" s="3" t="s">
        <v>144</v>
      </c>
      <c r="J24" s="3" t="s">
        <v>34</v>
      </c>
      <c r="K24" s="3" t="s">
        <v>262</v>
      </c>
      <c r="L24" s="3" t="s">
        <v>63</v>
      </c>
      <c r="M24" s="3" t="s">
        <v>64</v>
      </c>
      <c r="N24" s="3" t="s">
        <v>263</v>
      </c>
      <c r="O24" s="3" t="s">
        <v>264</v>
      </c>
      <c r="P24" s="3">
        <v>3.0</v>
      </c>
      <c r="Q24" s="3">
        <v>5.0</v>
      </c>
      <c r="R24" s="4"/>
      <c r="S24" s="4"/>
      <c r="T24" s="4"/>
      <c r="U24" s="3">
        <v>2.0</v>
      </c>
      <c r="V24" s="3" t="s">
        <v>41</v>
      </c>
      <c r="W24" s="3" t="s">
        <v>106</v>
      </c>
      <c r="X24" s="3" t="s">
        <v>265</v>
      </c>
      <c r="Y24" s="3" t="s">
        <v>266</v>
      </c>
      <c r="Z24" s="3" t="s">
        <v>267</v>
      </c>
      <c r="AA24" s="3" t="s">
        <v>44</v>
      </c>
    </row>
    <row r="25" ht="22.5" customHeight="1">
      <c r="A25" s="5">
        <v>46138.54539543981</v>
      </c>
      <c r="B25" s="6" t="s">
        <v>268</v>
      </c>
      <c r="C25" s="6" t="s">
        <v>269</v>
      </c>
      <c r="D25" s="6" t="s">
        <v>270</v>
      </c>
      <c r="E25" s="6" t="s">
        <v>271</v>
      </c>
      <c r="F25" s="6">
        <v>16.0</v>
      </c>
      <c r="G25" s="6" t="s">
        <v>31</v>
      </c>
      <c r="H25" s="6" t="s">
        <v>32</v>
      </c>
      <c r="I25" s="6" t="s">
        <v>144</v>
      </c>
      <c r="J25" s="6" t="s">
        <v>132</v>
      </c>
      <c r="K25" s="6" t="s">
        <v>272</v>
      </c>
      <c r="L25" s="6" t="s">
        <v>63</v>
      </c>
      <c r="M25" s="6" t="s">
        <v>64</v>
      </c>
      <c r="N25" s="6" t="s">
        <v>273</v>
      </c>
      <c r="O25" s="6" t="s">
        <v>274</v>
      </c>
      <c r="P25" s="6">
        <v>4.0</v>
      </c>
      <c r="Q25" s="6">
        <v>4.0</v>
      </c>
      <c r="R25" s="6">
        <v>2.0</v>
      </c>
      <c r="S25" s="6">
        <v>1.0</v>
      </c>
      <c r="T25" s="6">
        <v>2.0</v>
      </c>
      <c r="U25" s="6">
        <v>3.0</v>
      </c>
      <c r="V25" s="6" t="s">
        <v>41</v>
      </c>
      <c r="W25" s="6" t="s">
        <v>106</v>
      </c>
      <c r="X25" s="6" t="s">
        <v>275</v>
      </c>
      <c r="Y25" s="6" t="s">
        <v>276</v>
      </c>
      <c r="Z25" s="6" t="s">
        <v>277</v>
      </c>
      <c r="AA25" s="6" t="s">
        <v>44</v>
      </c>
    </row>
    <row r="26" ht="22.5" customHeight="1">
      <c r="A26" s="5">
        <v>46138.854580405095</v>
      </c>
      <c r="B26" s="6" t="s">
        <v>278</v>
      </c>
      <c r="C26" s="6" t="s">
        <v>279</v>
      </c>
      <c r="D26" s="6" t="s">
        <v>280</v>
      </c>
      <c r="E26" s="6" t="s">
        <v>281</v>
      </c>
      <c r="F26" s="6">
        <v>15.0</v>
      </c>
      <c r="G26" s="6" t="s">
        <v>49</v>
      </c>
      <c r="H26" s="6" t="s">
        <v>32</v>
      </c>
      <c r="I26" s="6" t="s">
        <v>33</v>
      </c>
      <c r="J26" s="6" t="s">
        <v>34</v>
      </c>
      <c r="K26" s="6" t="s">
        <v>282</v>
      </c>
      <c r="L26" s="6" t="s">
        <v>63</v>
      </c>
      <c r="M26" s="6" t="s">
        <v>64</v>
      </c>
      <c r="N26" s="6" t="s">
        <v>283</v>
      </c>
      <c r="O26" s="6" t="s">
        <v>284</v>
      </c>
      <c r="P26" s="6">
        <v>3.0</v>
      </c>
      <c r="Q26" s="6">
        <v>4.0</v>
      </c>
      <c r="V26" s="6" t="s">
        <v>41</v>
      </c>
      <c r="W26" s="6" t="s">
        <v>40</v>
      </c>
      <c r="X26" s="6" t="s">
        <v>285</v>
      </c>
      <c r="Y26" s="6" t="s">
        <v>286</v>
      </c>
      <c r="Z26" s="6" t="s">
        <v>287</v>
      </c>
      <c r="AA26" s="6" t="s">
        <v>44</v>
      </c>
    </row>
    <row r="27" ht="22.5" customHeight="1">
      <c r="A27" s="5">
        <v>46138.89472646991</v>
      </c>
      <c r="B27" s="6" t="s">
        <v>288</v>
      </c>
      <c r="C27" s="6" t="s">
        <v>289</v>
      </c>
      <c r="D27" s="6" t="s">
        <v>290</v>
      </c>
      <c r="E27" s="6">
        <v>7.208006266E9</v>
      </c>
      <c r="F27" s="6">
        <v>20.0</v>
      </c>
      <c r="G27" s="6" t="s">
        <v>73</v>
      </c>
      <c r="H27" s="6" t="s">
        <v>32</v>
      </c>
      <c r="I27" s="6" t="s">
        <v>291</v>
      </c>
      <c r="J27" s="6" t="s">
        <v>132</v>
      </c>
      <c r="K27" s="6" t="s">
        <v>292</v>
      </c>
      <c r="L27" s="6" t="s">
        <v>36</v>
      </c>
      <c r="M27" s="6" t="s">
        <v>114</v>
      </c>
      <c r="N27" s="6" t="s">
        <v>293</v>
      </c>
      <c r="O27" s="6" t="s">
        <v>294</v>
      </c>
      <c r="P27" s="6">
        <v>4.0</v>
      </c>
      <c r="Q27" s="6">
        <v>5.0</v>
      </c>
      <c r="R27" s="6">
        <v>2.0</v>
      </c>
      <c r="S27" s="6">
        <v>2.0</v>
      </c>
      <c r="T27" s="6">
        <v>4.0</v>
      </c>
      <c r="U27" s="6">
        <v>1.0</v>
      </c>
      <c r="V27" s="6" t="s">
        <v>106</v>
      </c>
      <c r="W27" s="6" t="s">
        <v>41</v>
      </c>
      <c r="X27" s="6" t="s">
        <v>295</v>
      </c>
      <c r="Y27" s="6" t="s">
        <v>296</v>
      </c>
      <c r="Z27" s="6" t="s">
        <v>297</v>
      </c>
      <c r="AA27" s="6" t="s">
        <v>44</v>
      </c>
    </row>
    <row r="28" ht="22.5" customHeight="1">
      <c r="A28" s="5">
        <v>46141.756593171296</v>
      </c>
      <c r="B28" s="6" t="s">
        <v>298</v>
      </c>
      <c r="C28" s="6" t="s">
        <v>299</v>
      </c>
      <c r="D28" s="6" t="s">
        <v>300</v>
      </c>
      <c r="E28" s="6" t="s">
        <v>301</v>
      </c>
      <c r="F28" s="6">
        <v>16.0</v>
      </c>
      <c r="G28" s="6" t="s">
        <v>49</v>
      </c>
      <c r="H28" s="6" t="s">
        <v>32</v>
      </c>
      <c r="I28" s="6" t="s">
        <v>144</v>
      </c>
      <c r="J28" s="6" t="s">
        <v>34</v>
      </c>
      <c r="K28" s="6" t="s">
        <v>302</v>
      </c>
      <c r="L28" s="6" t="s">
        <v>36</v>
      </c>
      <c r="M28" s="6" t="s">
        <v>64</v>
      </c>
      <c r="N28" s="6" t="s">
        <v>146</v>
      </c>
      <c r="O28" s="6" t="s">
        <v>303</v>
      </c>
      <c r="P28" s="6">
        <v>4.0</v>
      </c>
      <c r="Q28" s="6">
        <v>3.0</v>
      </c>
      <c r="V28" s="6" t="s">
        <v>106</v>
      </c>
      <c r="W28" s="6" t="s">
        <v>40</v>
      </c>
      <c r="X28" s="6" t="s">
        <v>304</v>
      </c>
      <c r="Y28" s="6" t="s">
        <v>305</v>
      </c>
      <c r="Z28" s="6" t="s">
        <v>306</v>
      </c>
      <c r="AA28" s="6" t="s">
        <v>44</v>
      </c>
    </row>
    <row r="29" ht="22.5" customHeight="1">
      <c r="A29" s="5">
        <v>46141.96383064815</v>
      </c>
      <c r="B29" s="6" t="s">
        <v>307</v>
      </c>
      <c r="C29" s="6" t="s">
        <v>308</v>
      </c>
      <c r="D29" s="6" t="s">
        <v>309</v>
      </c>
      <c r="E29" s="6">
        <v>7.209959386E9</v>
      </c>
      <c r="F29" s="6">
        <v>15.0</v>
      </c>
      <c r="G29" s="6" t="s">
        <v>31</v>
      </c>
      <c r="H29" s="6" t="s">
        <v>32</v>
      </c>
      <c r="I29" s="6" t="s">
        <v>33</v>
      </c>
      <c r="J29" s="6" t="s">
        <v>34</v>
      </c>
      <c r="K29" s="6" t="s">
        <v>310</v>
      </c>
      <c r="L29" s="6" t="s">
        <v>63</v>
      </c>
      <c r="M29" s="6" t="s">
        <v>64</v>
      </c>
      <c r="N29" s="6" t="s">
        <v>311</v>
      </c>
      <c r="O29" s="6" t="s">
        <v>312</v>
      </c>
      <c r="P29" s="6">
        <v>2.0</v>
      </c>
      <c r="Q29" s="6">
        <v>2.0</v>
      </c>
      <c r="V29" s="6" t="s">
        <v>40</v>
      </c>
      <c r="W29" s="6" t="s">
        <v>96</v>
      </c>
      <c r="Y29" s="6" t="s">
        <v>313</v>
      </c>
      <c r="Z29" s="6" t="s">
        <v>314</v>
      </c>
      <c r="AA29" s="6" t="s">
        <v>44</v>
      </c>
    </row>
    <row r="30" ht="22.5" customHeight="1">
      <c r="A30" s="2">
        <v>46095.55783942129</v>
      </c>
      <c r="B30" s="3" t="s">
        <v>315</v>
      </c>
      <c r="C30" s="3" t="s">
        <v>316</v>
      </c>
      <c r="D30" s="3" t="s">
        <v>317</v>
      </c>
      <c r="E30" s="3" t="s">
        <v>318</v>
      </c>
      <c r="F30" s="3">
        <v>17.0</v>
      </c>
      <c r="G30" s="3" t="s">
        <v>73</v>
      </c>
      <c r="H30" s="3" t="s">
        <v>319</v>
      </c>
      <c r="I30" s="3" t="s">
        <v>33</v>
      </c>
      <c r="J30" s="3" t="s">
        <v>34</v>
      </c>
      <c r="K30" s="3" t="s">
        <v>320</v>
      </c>
      <c r="L30" s="3" t="s">
        <v>63</v>
      </c>
      <c r="M30" s="3" t="s">
        <v>321</v>
      </c>
      <c r="N30" s="3" t="s">
        <v>322</v>
      </c>
      <c r="O30" s="3" t="s">
        <v>323</v>
      </c>
      <c r="P30" s="4"/>
      <c r="Q30" s="3">
        <v>5.0</v>
      </c>
      <c r="R30" s="4"/>
      <c r="S30" s="4"/>
      <c r="T30" s="4"/>
      <c r="U30" s="4"/>
      <c r="V30" s="3" t="s">
        <v>40</v>
      </c>
      <c r="W30" s="3" t="s">
        <v>40</v>
      </c>
      <c r="X30" s="4"/>
      <c r="Y30" s="3" t="s">
        <v>324</v>
      </c>
      <c r="Z30" s="3" t="s">
        <v>325</v>
      </c>
      <c r="AA30" s="3" t="s">
        <v>44</v>
      </c>
    </row>
    <row r="31" ht="22.5" customHeight="1">
      <c r="A31" s="2">
        <v>46095.631465983795</v>
      </c>
      <c r="B31" s="3" t="s">
        <v>326</v>
      </c>
      <c r="C31" s="3" t="s">
        <v>327</v>
      </c>
      <c r="D31" s="3" t="s">
        <v>328</v>
      </c>
      <c r="E31" s="3">
        <v>7.20470504E9</v>
      </c>
      <c r="F31" s="3">
        <v>16.0</v>
      </c>
      <c r="G31" s="3" t="s">
        <v>31</v>
      </c>
      <c r="H31" s="3" t="s">
        <v>319</v>
      </c>
      <c r="I31" s="3" t="s">
        <v>33</v>
      </c>
      <c r="J31" s="3" t="s">
        <v>34</v>
      </c>
      <c r="K31" s="3" t="s">
        <v>329</v>
      </c>
      <c r="L31" s="3" t="s">
        <v>63</v>
      </c>
      <c r="M31" s="3" t="s">
        <v>330</v>
      </c>
      <c r="N31" s="3" t="s">
        <v>331</v>
      </c>
      <c r="O31" s="3" t="s">
        <v>332</v>
      </c>
      <c r="P31" s="3">
        <v>1.0</v>
      </c>
      <c r="Q31" s="3">
        <v>3.0</v>
      </c>
      <c r="R31" s="3">
        <v>1.0</v>
      </c>
      <c r="S31" s="3">
        <v>1.0</v>
      </c>
      <c r="T31" s="3">
        <v>1.0</v>
      </c>
      <c r="U31" s="3">
        <v>1.0</v>
      </c>
      <c r="V31" s="3" t="s">
        <v>40</v>
      </c>
      <c r="W31" s="3" t="s">
        <v>96</v>
      </c>
      <c r="X31" s="4"/>
      <c r="Y31" s="3" t="s">
        <v>333</v>
      </c>
      <c r="Z31" s="3" t="s">
        <v>334</v>
      </c>
      <c r="AA31" s="3" t="s">
        <v>44</v>
      </c>
    </row>
    <row r="32" ht="22.5" customHeight="1">
      <c r="A32" s="2">
        <v>46095.84670895833</v>
      </c>
      <c r="B32" s="3" t="s">
        <v>335</v>
      </c>
      <c r="C32" s="3" t="s">
        <v>336</v>
      </c>
      <c r="D32" s="3" t="s">
        <v>337</v>
      </c>
      <c r="E32" s="3">
        <v>3.03856469E9</v>
      </c>
      <c r="F32" s="3">
        <v>17.0</v>
      </c>
      <c r="G32" s="3" t="s">
        <v>49</v>
      </c>
      <c r="H32" s="3" t="s">
        <v>319</v>
      </c>
      <c r="I32" s="3" t="s">
        <v>144</v>
      </c>
      <c r="J32" s="3" t="s">
        <v>34</v>
      </c>
      <c r="K32" s="3" t="s">
        <v>338</v>
      </c>
      <c r="L32" s="3" t="s">
        <v>36</v>
      </c>
      <c r="M32" s="3" t="s">
        <v>64</v>
      </c>
      <c r="N32" s="3" t="s">
        <v>339</v>
      </c>
      <c r="O32" s="3" t="s">
        <v>340</v>
      </c>
      <c r="P32" s="3">
        <v>4.0</v>
      </c>
      <c r="Q32" s="3">
        <v>4.0</v>
      </c>
      <c r="R32" s="3">
        <v>1.0</v>
      </c>
      <c r="S32" s="3">
        <v>1.0</v>
      </c>
      <c r="T32" s="3">
        <v>1.0</v>
      </c>
      <c r="U32" s="3">
        <v>1.0</v>
      </c>
      <c r="V32" s="3" t="s">
        <v>96</v>
      </c>
      <c r="W32" s="3" t="s">
        <v>106</v>
      </c>
      <c r="X32" s="3" t="s">
        <v>341</v>
      </c>
      <c r="Y32" s="3" t="s">
        <v>342</v>
      </c>
      <c r="Z32" s="3" t="s">
        <v>343</v>
      </c>
      <c r="AA32" s="3" t="s">
        <v>344</v>
      </c>
    </row>
    <row r="33" ht="22.5" customHeight="1">
      <c r="A33" s="2">
        <v>46097.00563986111</v>
      </c>
      <c r="B33" s="3" t="s">
        <v>345</v>
      </c>
      <c r="C33" s="3" t="s">
        <v>346</v>
      </c>
      <c r="D33" s="3" t="s">
        <v>347</v>
      </c>
      <c r="E33" s="3" t="s">
        <v>348</v>
      </c>
      <c r="F33" s="3">
        <v>17.0</v>
      </c>
      <c r="G33" s="3" t="s">
        <v>49</v>
      </c>
      <c r="H33" s="3" t="s">
        <v>319</v>
      </c>
      <c r="I33" s="3" t="s">
        <v>144</v>
      </c>
      <c r="J33" s="3" t="s">
        <v>34</v>
      </c>
      <c r="K33" s="3" t="s">
        <v>349</v>
      </c>
      <c r="L33" s="3" t="s">
        <v>36</v>
      </c>
      <c r="M33" s="3" t="s">
        <v>350</v>
      </c>
      <c r="N33" s="3" t="s">
        <v>351</v>
      </c>
      <c r="O33" s="3" t="s">
        <v>352</v>
      </c>
      <c r="P33" s="3">
        <v>5.0</v>
      </c>
      <c r="Q33" s="3">
        <v>5.0</v>
      </c>
      <c r="R33" s="3">
        <v>5.0</v>
      </c>
      <c r="S33" s="3">
        <v>5.0</v>
      </c>
      <c r="T33" s="3">
        <v>5.0</v>
      </c>
      <c r="U33" s="3">
        <v>5.0</v>
      </c>
      <c r="V33" s="3" t="s">
        <v>159</v>
      </c>
      <c r="W33" s="3" t="s">
        <v>159</v>
      </c>
      <c r="X33" s="4"/>
      <c r="Y33" s="3" t="s">
        <v>346</v>
      </c>
      <c r="Z33" s="3" t="s">
        <v>353</v>
      </c>
      <c r="AA33" s="3" t="s">
        <v>44</v>
      </c>
    </row>
    <row r="34" ht="22.5" customHeight="1">
      <c r="A34" s="2">
        <v>46097.57294842592</v>
      </c>
      <c r="B34" s="3" t="s">
        <v>354</v>
      </c>
      <c r="C34" s="3" t="s">
        <v>355</v>
      </c>
      <c r="D34" s="3" t="s">
        <v>290</v>
      </c>
      <c r="E34" s="3" t="s">
        <v>356</v>
      </c>
      <c r="F34" s="3">
        <v>16.0</v>
      </c>
      <c r="G34" s="3" t="s">
        <v>73</v>
      </c>
      <c r="H34" s="3" t="s">
        <v>319</v>
      </c>
      <c r="I34" s="3" t="s">
        <v>33</v>
      </c>
      <c r="J34" s="3" t="s">
        <v>34</v>
      </c>
      <c r="K34" s="3" t="s">
        <v>357</v>
      </c>
      <c r="L34" s="3" t="s">
        <v>36</v>
      </c>
      <c r="M34" s="3" t="s">
        <v>358</v>
      </c>
      <c r="N34" s="3" t="s">
        <v>65</v>
      </c>
      <c r="O34" s="3" t="s">
        <v>359</v>
      </c>
      <c r="P34" s="3">
        <v>1.0</v>
      </c>
      <c r="Q34" s="3">
        <v>5.0</v>
      </c>
      <c r="R34" s="4"/>
      <c r="S34" s="4"/>
      <c r="T34" s="4"/>
      <c r="U34" s="4"/>
      <c r="V34" s="3" t="s">
        <v>40</v>
      </c>
      <c r="W34" s="3" t="s">
        <v>41</v>
      </c>
      <c r="X34" s="3" t="s">
        <v>360</v>
      </c>
      <c r="Y34" s="3" t="s">
        <v>361</v>
      </c>
      <c r="Z34" s="3" t="s">
        <v>362</v>
      </c>
      <c r="AA34" s="3" t="s">
        <v>44</v>
      </c>
    </row>
    <row r="35" ht="22.5" customHeight="1">
      <c r="A35" s="2">
        <v>46101.442150787036</v>
      </c>
      <c r="B35" s="3" t="s">
        <v>363</v>
      </c>
      <c r="C35" s="3" t="s">
        <v>364</v>
      </c>
      <c r="D35" s="3" t="s">
        <v>186</v>
      </c>
      <c r="E35" s="3">
        <v>7.208055052E9</v>
      </c>
      <c r="F35" s="3">
        <v>16.0</v>
      </c>
      <c r="G35" s="3" t="s">
        <v>49</v>
      </c>
      <c r="H35" s="3" t="s">
        <v>319</v>
      </c>
      <c r="I35" s="3" t="s">
        <v>33</v>
      </c>
      <c r="J35" s="3" t="s">
        <v>34</v>
      </c>
      <c r="K35" s="3" t="s">
        <v>365</v>
      </c>
      <c r="L35" s="3" t="s">
        <v>36</v>
      </c>
      <c r="M35" s="3" t="s">
        <v>64</v>
      </c>
      <c r="N35" s="3" t="s">
        <v>366</v>
      </c>
      <c r="O35" s="3" t="s">
        <v>367</v>
      </c>
      <c r="P35" s="3">
        <v>4.0</v>
      </c>
      <c r="Q35" s="3">
        <v>4.0</v>
      </c>
      <c r="R35" s="3">
        <v>1.0</v>
      </c>
      <c r="S35" s="3">
        <v>1.0</v>
      </c>
      <c r="T35" s="3">
        <v>1.0</v>
      </c>
      <c r="U35" s="3">
        <v>1.0</v>
      </c>
      <c r="V35" s="3" t="s">
        <v>40</v>
      </c>
      <c r="W35" s="3" t="s">
        <v>96</v>
      </c>
      <c r="X35" s="3" t="s">
        <v>368</v>
      </c>
      <c r="Y35" s="3" t="s">
        <v>369</v>
      </c>
      <c r="Z35" s="3" t="s">
        <v>370</v>
      </c>
      <c r="AA35" s="3" t="s">
        <v>44</v>
      </c>
    </row>
    <row r="36" ht="22.5" customHeight="1">
      <c r="A36" s="2">
        <v>46107.34705048611</v>
      </c>
      <c r="B36" s="3" t="s">
        <v>371</v>
      </c>
      <c r="C36" s="3" t="s">
        <v>372</v>
      </c>
      <c r="D36" s="3" t="s">
        <v>373</v>
      </c>
      <c r="E36" s="3">
        <v>7.209686448E9</v>
      </c>
      <c r="F36" s="3">
        <v>16.0</v>
      </c>
      <c r="G36" s="3" t="s">
        <v>374</v>
      </c>
      <c r="H36" s="3" t="s">
        <v>319</v>
      </c>
      <c r="I36" s="3" t="s">
        <v>33</v>
      </c>
      <c r="J36" s="3" t="s">
        <v>34</v>
      </c>
      <c r="K36" s="3" t="s">
        <v>375</v>
      </c>
      <c r="L36" s="3" t="s">
        <v>63</v>
      </c>
      <c r="M36" s="3" t="s">
        <v>64</v>
      </c>
      <c r="N36" s="3" t="s">
        <v>376</v>
      </c>
      <c r="O36" s="3" t="s">
        <v>377</v>
      </c>
      <c r="P36" s="3">
        <v>4.0</v>
      </c>
      <c r="Q36" s="3">
        <v>5.0</v>
      </c>
      <c r="R36" s="3">
        <v>2.0</v>
      </c>
      <c r="S36" s="3">
        <v>1.0</v>
      </c>
      <c r="T36" s="3">
        <v>2.0</v>
      </c>
      <c r="U36" s="3">
        <v>2.0</v>
      </c>
      <c r="V36" s="3" t="s">
        <v>40</v>
      </c>
      <c r="W36" s="3" t="s">
        <v>41</v>
      </c>
      <c r="X36" s="3" t="s">
        <v>378</v>
      </c>
      <c r="Y36" s="3" t="s">
        <v>379</v>
      </c>
      <c r="Z36" s="3" t="s">
        <v>380</v>
      </c>
      <c r="AA36" s="3" t="s">
        <v>44</v>
      </c>
    </row>
    <row r="37" ht="22.5" customHeight="1">
      <c r="A37" s="2">
        <v>46132.38286092592</v>
      </c>
      <c r="B37" s="3" t="s">
        <v>381</v>
      </c>
      <c r="C37" s="3" t="s">
        <v>382</v>
      </c>
      <c r="D37" s="3" t="s">
        <v>383</v>
      </c>
      <c r="E37" s="3" t="s">
        <v>384</v>
      </c>
      <c r="F37" s="3">
        <v>17.0</v>
      </c>
      <c r="G37" s="3" t="s">
        <v>73</v>
      </c>
      <c r="H37" s="3" t="s">
        <v>319</v>
      </c>
      <c r="I37" s="3" t="s">
        <v>144</v>
      </c>
      <c r="J37" s="3" t="s">
        <v>61</v>
      </c>
      <c r="K37" s="3" t="s">
        <v>385</v>
      </c>
      <c r="L37" s="3" t="s">
        <v>63</v>
      </c>
      <c r="M37" s="3" t="s">
        <v>386</v>
      </c>
      <c r="N37" s="3" t="s">
        <v>387</v>
      </c>
      <c r="O37" s="3" t="s">
        <v>388</v>
      </c>
      <c r="P37" s="3">
        <v>3.0</v>
      </c>
      <c r="Q37" s="3">
        <v>1.0</v>
      </c>
      <c r="R37" s="3">
        <v>1.0</v>
      </c>
      <c r="S37" s="3">
        <v>1.0</v>
      </c>
      <c r="T37" s="3">
        <v>1.0</v>
      </c>
      <c r="U37" s="3">
        <v>1.0</v>
      </c>
      <c r="V37" s="3" t="s">
        <v>96</v>
      </c>
      <c r="W37" s="3" t="s">
        <v>106</v>
      </c>
      <c r="X37" s="3" t="s">
        <v>389</v>
      </c>
      <c r="Y37" s="3" t="s">
        <v>390</v>
      </c>
      <c r="Z37" s="3" t="s">
        <v>391</v>
      </c>
      <c r="AA37" s="3" t="s">
        <v>44</v>
      </c>
    </row>
    <row r="38" ht="22.5" customHeight="1">
      <c r="A38" s="2">
        <v>46138.38730072917</v>
      </c>
      <c r="B38" s="3" t="s">
        <v>392</v>
      </c>
      <c r="C38" s="3" t="s">
        <v>393</v>
      </c>
      <c r="D38" s="3" t="s">
        <v>394</v>
      </c>
      <c r="E38" s="3" t="s">
        <v>395</v>
      </c>
      <c r="F38" s="3">
        <v>17.0</v>
      </c>
      <c r="G38" s="3" t="s">
        <v>73</v>
      </c>
      <c r="H38" s="3" t="s">
        <v>319</v>
      </c>
      <c r="I38" s="3" t="s">
        <v>144</v>
      </c>
      <c r="J38" s="3" t="s">
        <v>34</v>
      </c>
      <c r="K38" s="3" t="s">
        <v>396</v>
      </c>
      <c r="L38" s="3" t="s">
        <v>36</v>
      </c>
      <c r="M38" s="3" t="s">
        <v>397</v>
      </c>
      <c r="N38" s="3" t="s">
        <v>398</v>
      </c>
      <c r="O38" s="3" t="s">
        <v>399</v>
      </c>
      <c r="P38" s="3">
        <v>4.0</v>
      </c>
      <c r="Q38" s="3">
        <v>2.0</v>
      </c>
      <c r="R38" s="3">
        <v>2.0</v>
      </c>
      <c r="S38" s="3">
        <v>2.0</v>
      </c>
      <c r="T38" s="4"/>
      <c r="U38" s="4"/>
      <c r="V38" s="3" t="s">
        <v>96</v>
      </c>
      <c r="W38" s="3" t="s">
        <v>106</v>
      </c>
      <c r="X38" s="3" t="s">
        <v>40</v>
      </c>
      <c r="Y38" s="3" t="s">
        <v>400</v>
      </c>
      <c r="Z38" s="3" t="s">
        <v>401</v>
      </c>
      <c r="AA38" s="3" t="s">
        <v>44</v>
      </c>
    </row>
    <row r="39" ht="22.5" customHeight="1">
      <c r="A39" s="2">
        <v>46095.55147712963</v>
      </c>
      <c r="B39" s="3" t="s">
        <v>402</v>
      </c>
      <c r="C39" s="3" t="s">
        <v>403</v>
      </c>
      <c r="D39" s="3" t="s">
        <v>404</v>
      </c>
      <c r="E39" s="3" t="s">
        <v>405</v>
      </c>
      <c r="F39" s="3">
        <v>17.0</v>
      </c>
      <c r="G39" s="3" t="s">
        <v>49</v>
      </c>
      <c r="H39" s="3" t="s">
        <v>406</v>
      </c>
      <c r="I39" s="3" t="s">
        <v>33</v>
      </c>
      <c r="J39" s="3" t="s">
        <v>34</v>
      </c>
      <c r="K39" s="3" t="s">
        <v>407</v>
      </c>
      <c r="L39" s="3" t="s">
        <v>36</v>
      </c>
      <c r="M39" s="3" t="s">
        <v>114</v>
      </c>
      <c r="N39" s="3" t="s">
        <v>408</v>
      </c>
      <c r="O39" s="4"/>
      <c r="P39" s="3">
        <v>5.0</v>
      </c>
      <c r="Q39" s="3">
        <v>5.0</v>
      </c>
      <c r="R39" s="3">
        <v>5.0</v>
      </c>
      <c r="S39" s="3">
        <v>5.0</v>
      </c>
      <c r="T39" s="3">
        <v>5.0</v>
      </c>
      <c r="U39" s="4"/>
      <c r="V39" s="3" t="s">
        <v>409</v>
      </c>
      <c r="W39" s="3" t="s">
        <v>409</v>
      </c>
      <c r="X39" s="3" t="s">
        <v>410</v>
      </c>
      <c r="Y39" s="3" t="s">
        <v>411</v>
      </c>
      <c r="Z39" s="3" t="s">
        <v>412</v>
      </c>
      <c r="AA39" s="3" t="s">
        <v>44</v>
      </c>
    </row>
    <row r="40" ht="22.5" customHeight="1">
      <c r="A40" s="2">
        <v>46095.849786770836</v>
      </c>
      <c r="B40" s="3" t="s">
        <v>413</v>
      </c>
      <c r="C40" s="3" t="s">
        <v>414</v>
      </c>
      <c r="D40" s="3" t="s">
        <v>415</v>
      </c>
      <c r="E40" s="3">
        <v>7.203342724E9</v>
      </c>
      <c r="F40" s="3">
        <v>17.0</v>
      </c>
      <c r="G40" s="3" t="s">
        <v>49</v>
      </c>
      <c r="H40" s="3" t="s">
        <v>406</v>
      </c>
      <c r="I40" s="3" t="s">
        <v>144</v>
      </c>
      <c r="J40" s="3" t="s">
        <v>34</v>
      </c>
      <c r="K40" s="3" t="s">
        <v>416</v>
      </c>
      <c r="L40" s="3" t="s">
        <v>36</v>
      </c>
      <c r="M40" s="3" t="s">
        <v>417</v>
      </c>
      <c r="N40" s="3" t="s">
        <v>418</v>
      </c>
      <c r="O40" s="3" t="s">
        <v>419</v>
      </c>
      <c r="P40" s="3">
        <v>4.0</v>
      </c>
      <c r="Q40" s="4"/>
      <c r="R40" s="4"/>
      <c r="S40" s="4"/>
      <c r="T40" s="4"/>
      <c r="U40" s="3">
        <v>2.0</v>
      </c>
      <c r="V40" s="3" t="s">
        <v>106</v>
      </c>
      <c r="W40" s="3" t="s">
        <v>96</v>
      </c>
      <c r="X40" s="4"/>
      <c r="Y40" s="3" t="s">
        <v>420</v>
      </c>
      <c r="Z40" s="3" t="s">
        <v>421</v>
      </c>
      <c r="AA40" s="3" t="s">
        <v>44</v>
      </c>
    </row>
    <row r="41" ht="22.5" customHeight="1">
      <c r="A41" s="2">
        <v>46097.04149005787</v>
      </c>
      <c r="B41" s="3" t="s">
        <v>422</v>
      </c>
      <c r="C41" s="3" t="s">
        <v>423</v>
      </c>
      <c r="D41" s="3" t="s">
        <v>424</v>
      </c>
      <c r="E41" s="3" t="s">
        <v>425</v>
      </c>
      <c r="F41" s="3">
        <v>17.0</v>
      </c>
      <c r="G41" s="3" t="s">
        <v>49</v>
      </c>
      <c r="H41" s="3" t="s">
        <v>406</v>
      </c>
      <c r="I41" s="3" t="s">
        <v>33</v>
      </c>
      <c r="J41" s="3" t="s">
        <v>34</v>
      </c>
      <c r="K41" s="3" t="s">
        <v>426</v>
      </c>
      <c r="L41" s="3" t="s">
        <v>36</v>
      </c>
      <c r="M41" s="3" t="s">
        <v>134</v>
      </c>
      <c r="N41" s="3" t="s">
        <v>427</v>
      </c>
      <c r="O41" s="3" t="s">
        <v>428</v>
      </c>
      <c r="P41" s="3">
        <v>5.0</v>
      </c>
      <c r="Q41" s="3">
        <v>4.0</v>
      </c>
      <c r="R41" s="3">
        <v>3.0</v>
      </c>
      <c r="S41" s="3">
        <v>1.0</v>
      </c>
      <c r="T41" s="3">
        <v>1.0</v>
      </c>
      <c r="U41" s="3">
        <v>1.0</v>
      </c>
      <c r="V41" s="3" t="s">
        <v>96</v>
      </c>
      <c r="W41" s="3" t="s">
        <v>40</v>
      </c>
      <c r="X41" s="3" t="s">
        <v>429</v>
      </c>
      <c r="Y41" s="3" t="s">
        <v>430</v>
      </c>
      <c r="Z41" s="3" t="s">
        <v>431</v>
      </c>
      <c r="AA41" s="3" t="s">
        <v>344</v>
      </c>
    </row>
    <row r="42" ht="22.5" customHeight="1">
      <c r="A42" s="5">
        <v>46138.95393001157</v>
      </c>
      <c r="B42" s="6" t="s">
        <v>432</v>
      </c>
      <c r="C42" s="6" t="s">
        <v>433</v>
      </c>
      <c r="D42" s="6" t="s">
        <v>434</v>
      </c>
      <c r="E42" s="6">
        <v>7.20651282E9</v>
      </c>
      <c r="F42" s="6">
        <v>18.0</v>
      </c>
      <c r="G42" s="6" t="s">
        <v>73</v>
      </c>
      <c r="H42" s="6" t="s">
        <v>406</v>
      </c>
      <c r="I42" s="6" t="s">
        <v>33</v>
      </c>
      <c r="J42" s="6" t="s">
        <v>132</v>
      </c>
      <c r="K42" s="6" t="s">
        <v>435</v>
      </c>
      <c r="L42" s="6" t="s">
        <v>36</v>
      </c>
      <c r="M42" s="6" t="s">
        <v>64</v>
      </c>
      <c r="N42" s="6" t="s">
        <v>436</v>
      </c>
      <c r="O42" s="6" t="s">
        <v>437</v>
      </c>
      <c r="P42" s="6">
        <v>4.0</v>
      </c>
      <c r="Q42" s="6">
        <v>5.0</v>
      </c>
      <c r="V42" s="6" t="s">
        <v>41</v>
      </c>
      <c r="W42" s="6" t="s">
        <v>40</v>
      </c>
      <c r="X42" s="6" t="s">
        <v>438</v>
      </c>
      <c r="Y42" s="6" t="s">
        <v>439</v>
      </c>
      <c r="Z42" s="6" t="s">
        <v>440</v>
      </c>
      <c r="AA42" s="6" t="s">
        <v>44</v>
      </c>
    </row>
    <row r="43" ht="22.5" customHeight="1">
      <c r="A43" s="5">
        <v>46140.836108171294</v>
      </c>
      <c r="B43" s="6" t="s">
        <v>441</v>
      </c>
      <c r="C43" s="6" t="s">
        <v>442</v>
      </c>
      <c r="D43" s="6" t="s">
        <v>443</v>
      </c>
      <c r="E43" s="6" t="s">
        <v>444</v>
      </c>
      <c r="F43" s="6">
        <v>19.0</v>
      </c>
      <c r="G43" s="6" t="s">
        <v>49</v>
      </c>
      <c r="H43" s="6" t="s">
        <v>406</v>
      </c>
      <c r="I43" s="6" t="s">
        <v>445</v>
      </c>
      <c r="J43" s="6" t="s">
        <v>34</v>
      </c>
      <c r="K43" s="6" t="s">
        <v>446</v>
      </c>
      <c r="L43" s="6" t="s">
        <v>36</v>
      </c>
      <c r="M43" s="6" t="s">
        <v>64</v>
      </c>
      <c r="N43" s="6" t="s">
        <v>447</v>
      </c>
      <c r="O43" s="6" t="s">
        <v>448</v>
      </c>
      <c r="P43" s="6">
        <v>5.0</v>
      </c>
      <c r="Q43" s="6">
        <v>5.0</v>
      </c>
      <c r="R43" s="6">
        <v>1.0</v>
      </c>
      <c r="T43" s="6">
        <v>1.0</v>
      </c>
      <c r="V43" s="6" t="s">
        <v>96</v>
      </c>
      <c r="W43" s="6" t="s">
        <v>40</v>
      </c>
      <c r="X43" s="6" t="s">
        <v>449</v>
      </c>
      <c r="Y43" s="6" t="s">
        <v>442</v>
      </c>
      <c r="Z43" s="6" t="s">
        <v>442</v>
      </c>
      <c r="AA43" s="6" t="s">
        <v>44</v>
      </c>
    </row>
    <row r="44" ht="22.5" customHeight="1">
      <c r="A44" s="2">
        <v>46095.57941630787</v>
      </c>
      <c r="B44" s="3" t="s">
        <v>450</v>
      </c>
      <c r="C44" s="3" t="s">
        <v>451</v>
      </c>
      <c r="D44" s="3" t="s">
        <v>452</v>
      </c>
      <c r="E44" s="3" t="s">
        <v>453</v>
      </c>
      <c r="F44" s="3">
        <v>14.0</v>
      </c>
      <c r="G44" s="3" t="s">
        <v>374</v>
      </c>
      <c r="H44" s="3" t="s">
        <v>454</v>
      </c>
      <c r="I44" s="3" t="s">
        <v>455</v>
      </c>
      <c r="J44" s="3" t="s">
        <v>34</v>
      </c>
      <c r="K44" s="3" t="s">
        <v>456</v>
      </c>
      <c r="L44" s="3" t="s">
        <v>63</v>
      </c>
      <c r="M44" s="3" t="s">
        <v>457</v>
      </c>
      <c r="N44" s="4"/>
      <c r="O44" s="3" t="s">
        <v>297</v>
      </c>
      <c r="P44" s="3">
        <v>2.0</v>
      </c>
      <c r="Q44" s="3">
        <v>4.0</v>
      </c>
      <c r="R44" s="3">
        <v>3.0</v>
      </c>
      <c r="S44" s="3">
        <v>3.0</v>
      </c>
      <c r="T44" s="3">
        <v>3.0</v>
      </c>
      <c r="U44" s="3">
        <v>1.0</v>
      </c>
      <c r="V44" s="3" t="s">
        <v>40</v>
      </c>
      <c r="W44" s="3" t="s">
        <v>40</v>
      </c>
      <c r="X44" s="4"/>
      <c r="Y44" s="3" t="s">
        <v>458</v>
      </c>
      <c r="Z44" s="3" t="s">
        <v>459</v>
      </c>
      <c r="AA44" s="3" t="s">
        <v>44</v>
      </c>
    </row>
    <row r="45" ht="22.5" customHeight="1">
      <c r="A45" s="2">
        <v>46095.5871633912</v>
      </c>
      <c r="B45" s="3" t="s">
        <v>460</v>
      </c>
      <c r="C45" s="3" t="s">
        <v>461</v>
      </c>
      <c r="D45" s="3" t="s">
        <v>462</v>
      </c>
      <c r="E45" s="3">
        <v>7.206010176E9</v>
      </c>
      <c r="F45" s="3">
        <v>15.0</v>
      </c>
      <c r="G45" s="3" t="s">
        <v>49</v>
      </c>
      <c r="H45" s="3" t="s">
        <v>454</v>
      </c>
      <c r="I45" s="3" t="s">
        <v>33</v>
      </c>
      <c r="J45" s="3" t="s">
        <v>34</v>
      </c>
      <c r="K45" s="3" t="s">
        <v>463</v>
      </c>
      <c r="L45" s="3" t="s">
        <v>63</v>
      </c>
      <c r="M45" s="3" t="s">
        <v>464</v>
      </c>
      <c r="N45" s="3" t="s">
        <v>465</v>
      </c>
      <c r="O45" s="3" t="s">
        <v>466</v>
      </c>
      <c r="P45" s="4"/>
      <c r="Q45" s="3">
        <v>3.0</v>
      </c>
      <c r="R45" s="3">
        <v>4.0</v>
      </c>
      <c r="S45" s="4"/>
      <c r="T45" s="4"/>
      <c r="U45" s="3">
        <v>3.0</v>
      </c>
      <c r="V45" s="3" t="s">
        <v>159</v>
      </c>
      <c r="W45" s="3" t="s">
        <v>409</v>
      </c>
      <c r="X45" s="3" t="s">
        <v>40</v>
      </c>
      <c r="Y45" s="3" t="s">
        <v>467</v>
      </c>
      <c r="Z45" s="3" t="s">
        <v>468</v>
      </c>
      <c r="AA45" s="3" t="s">
        <v>44</v>
      </c>
    </row>
    <row r="46" ht="22.5" customHeight="1">
      <c r="A46" s="2">
        <v>46104.78152070602</v>
      </c>
      <c r="B46" s="3" t="s">
        <v>469</v>
      </c>
      <c r="C46" s="3" t="s">
        <v>470</v>
      </c>
      <c r="D46" s="3" t="s">
        <v>47</v>
      </c>
      <c r="E46" s="3" t="s">
        <v>471</v>
      </c>
      <c r="F46" s="3">
        <v>14.0</v>
      </c>
      <c r="G46" s="3" t="s">
        <v>31</v>
      </c>
      <c r="H46" s="3" t="s">
        <v>454</v>
      </c>
      <c r="I46" s="3" t="s">
        <v>33</v>
      </c>
      <c r="J46" s="3" t="s">
        <v>34</v>
      </c>
      <c r="K46" s="3" t="s">
        <v>472</v>
      </c>
      <c r="L46" s="3" t="s">
        <v>36</v>
      </c>
      <c r="M46" s="3" t="s">
        <v>64</v>
      </c>
      <c r="N46" s="3" t="s">
        <v>473</v>
      </c>
      <c r="O46" s="3" t="s">
        <v>474</v>
      </c>
      <c r="P46" s="3">
        <v>3.0</v>
      </c>
      <c r="Q46" s="3">
        <v>4.0</v>
      </c>
      <c r="R46" s="4"/>
      <c r="S46" s="4"/>
      <c r="T46" s="4"/>
      <c r="U46" s="4"/>
      <c r="V46" s="3" t="s">
        <v>40</v>
      </c>
      <c r="W46" s="3" t="s">
        <v>96</v>
      </c>
      <c r="X46" s="4"/>
      <c r="Y46" s="3" t="s">
        <v>475</v>
      </c>
      <c r="Z46" s="3" t="s">
        <v>476</v>
      </c>
      <c r="AA46" s="3" t="s">
        <v>44</v>
      </c>
    </row>
    <row r="47" ht="22.5" customHeight="1">
      <c r="A47" s="2">
        <v>46106.41636452546</v>
      </c>
      <c r="B47" s="3" t="s">
        <v>477</v>
      </c>
      <c r="C47" s="3" t="s">
        <v>478</v>
      </c>
      <c r="D47" s="3" t="s">
        <v>479</v>
      </c>
      <c r="E47" s="3">
        <v>3.034898878E9</v>
      </c>
      <c r="F47" s="3">
        <v>14.0</v>
      </c>
      <c r="G47" s="3" t="s">
        <v>49</v>
      </c>
      <c r="H47" s="3" t="s">
        <v>454</v>
      </c>
      <c r="I47" s="3" t="s">
        <v>33</v>
      </c>
      <c r="J47" s="3" t="s">
        <v>34</v>
      </c>
      <c r="K47" s="3" t="s">
        <v>480</v>
      </c>
      <c r="L47" s="3" t="s">
        <v>63</v>
      </c>
      <c r="M47" s="3" t="s">
        <v>481</v>
      </c>
      <c r="N47" s="3" t="s">
        <v>482</v>
      </c>
      <c r="O47" s="3" t="s">
        <v>483</v>
      </c>
      <c r="P47" s="3">
        <v>3.0</v>
      </c>
      <c r="Q47" s="3">
        <v>3.0</v>
      </c>
      <c r="R47" s="3">
        <v>2.0</v>
      </c>
      <c r="S47" s="4"/>
      <c r="T47" s="4"/>
      <c r="U47" s="3">
        <v>3.0</v>
      </c>
      <c r="V47" s="3" t="s">
        <v>96</v>
      </c>
      <c r="W47" s="3" t="s">
        <v>40</v>
      </c>
      <c r="X47" s="3" t="s">
        <v>484</v>
      </c>
      <c r="Y47" s="3" t="s">
        <v>478</v>
      </c>
      <c r="Z47" s="3" t="s">
        <v>485</v>
      </c>
      <c r="AA47" s="3" t="s">
        <v>44</v>
      </c>
    </row>
    <row r="48" ht="22.5" customHeight="1">
      <c r="A48" s="2">
        <v>46106.75236431713</v>
      </c>
      <c r="B48" s="3" t="s">
        <v>486</v>
      </c>
      <c r="C48" s="3" t="s">
        <v>487</v>
      </c>
      <c r="D48" s="3" t="s">
        <v>488</v>
      </c>
      <c r="E48" s="3" t="s">
        <v>489</v>
      </c>
      <c r="F48" s="3">
        <v>15.0</v>
      </c>
      <c r="G48" s="3" t="s">
        <v>197</v>
      </c>
      <c r="H48" s="3" t="s">
        <v>454</v>
      </c>
      <c r="I48" s="3" t="s">
        <v>33</v>
      </c>
      <c r="J48" s="3" t="s">
        <v>34</v>
      </c>
      <c r="K48" s="3" t="s">
        <v>490</v>
      </c>
      <c r="L48" s="3" t="s">
        <v>63</v>
      </c>
      <c r="M48" s="3" t="s">
        <v>64</v>
      </c>
      <c r="N48" s="3" t="s">
        <v>482</v>
      </c>
      <c r="O48" s="3" t="s">
        <v>491</v>
      </c>
      <c r="P48" s="3">
        <v>3.0</v>
      </c>
      <c r="Q48" s="3">
        <v>3.0</v>
      </c>
      <c r="R48" s="4"/>
      <c r="S48" s="4"/>
      <c r="T48" s="4"/>
      <c r="U48" s="4"/>
      <c r="V48" s="3" t="s">
        <v>40</v>
      </c>
      <c r="W48" s="3" t="s">
        <v>96</v>
      </c>
      <c r="X48" s="3" t="s">
        <v>492</v>
      </c>
      <c r="Y48" s="3" t="s">
        <v>493</v>
      </c>
      <c r="Z48" s="3" t="s">
        <v>494</v>
      </c>
      <c r="AA48" s="3" t="s">
        <v>44</v>
      </c>
    </row>
    <row r="49" ht="22.5" customHeight="1">
      <c r="A49" s="2">
        <v>46106.774528055554</v>
      </c>
      <c r="B49" s="3" t="s">
        <v>495</v>
      </c>
      <c r="C49" s="3" t="s">
        <v>478</v>
      </c>
      <c r="D49" s="3" t="s">
        <v>373</v>
      </c>
      <c r="E49" s="3" t="s">
        <v>496</v>
      </c>
      <c r="F49" s="3">
        <v>15.0</v>
      </c>
      <c r="G49" s="3" t="s">
        <v>31</v>
      </c>
      <c r="H49" s="3" t="s">
        <v>454</v>
      </c>
      <c r="I49" s="3" t="s">
        <v>33</v>
      </c>
      <c r="J49" s="3" t="s">
        <v>61</v>
      </c>
      <c r="K49" s="3" t="s">
        <v>497</v>
      </c>
      <c r="L49" s="3" t="s">
        <v>63</v>
      </c>
      <c r="M49" s="3" t="s">
        <v>498</v>
      </c>
      <c r="N49" s="3" t="s">
        <v>499</v>
      </c>
      <c r="O49" s="3" t="s">
        <v>500</v>
      </c>
      <c r="P49" s="3">
        <v>4.0</v>
      </c>
      <c r="Q49" s="3">
        <v>3.0</v>
      </c>
      <c r="R49" s="3">
        <v>1.0</v>
      </c>
      <c r="S49" s="3">
        <v>1.0</v>
      </c>
      <c r="T49" s="3">
        <v>1.0</v>
      </c>
      <c r="U49" s="3">
        <v>1.0</v>
      </c>
      <c r="V49" s="3" t="s">
        <v>40</v>
      </c>
      <c r="W49" s="3" t="s">
        <v>96</v>
      </c>
      <c r="X49" s="3" t="s">
        <v>501</v>
      </c>
      <c r="Y49" s="3" t="s">
        <v>502</v>
      </c>
      <c r="Z49" s="3" t="s">
        <v>503</v>
      </c>
      <c r="AA49" s="3" t="s">
        <v>44</v>
      </c>
    </row>
    <row r="50" ht="22.5" customHeight="1">
      <c r="A50" s="2">
        <v>46106.775574872685</v>
      </c>
      <c r="B50" s="3" t="s">
        <v>504</v>
      </c>
      <c r="C50" s="3" t="s">
        <v>505</v>
      </c>
      <c r="D50" s="3" t="s">
        <v>506</v>
      </c>
      <c r="E50" s="3" t="s">
        <v>507</v>
      </c>
      <c r="F50" s="3">
        <v>15.0</v>
      </c>
      <c r="G50" s="3" t="s">
        <v>49</v>
      </c>
      <c r="H50" s="3" t="s">
        <v>454</v>
      </c>
      <c r="I50" s="3" t="s">
        <v>33</v>
      </c>
      <c r="J50" s="3" t="s">
        <v>61</v>
      </c>
      <c r="K50" s="3" t="s">
        <v>508</v>
      </c>
      <c r="L50" s="3" t="s">
        <v>63</v>
      </c>
      <c r="M50" s="3" t="s">
        <v>114</v>
      </c>
      <c r="N50" s="3" t="s">
        <v>509</v>
      </c>
      <c r="O50" s="3" t="s">
        <v>510</v>
      </c>
      <c r="P50" s="3">
        <v>2.0</v>
      </c>
      <c r="Q50" s="3">
        <v>5.0</v>
      </c>
      <c r="R50" s="3">
        <v>4.0</v>
      </c>
      <c r="S50" s="3">
        <v>5.0</v>
      </c>
      <c r="T50" s="3">
        <v>4.0</v>
      </c>
      <c r="U50" s="3">
        <v>3.0</v>
      </c>
      <c r="V50" s="3" t="s">
        <v>40</v>
      </c>
      <c r="W50" s="3" t="s">
        <v>409</v>
      </c>
      <c r="X50" s="3" t="s">
        <v>511</v>
      </c>
      <c r="Y50" s="3" t="s">
        <v>512</v>
      </c>
      <c r="Z50" s="3" t="s">
        <v>513</v>
      </c>
      <c r="AA50" s="3" t="s">
        <v>44</v>
      </c>
    </row>
    <row r="51" ht="22.5" customHeight="1">
      <c r="A51" s="2">
        <v>46106.94339155093</v>
      </c>
      <c r="B51" s="3" t="s">
        <v>514</v>
      </c>
      <c r="C51" s="3" t="s">
        <v>515</v>
      </c>
      <c r="D51" s="3" t="s">
        <v>516</v>
      </c>
      <c r="E51" s="3">
        <v>7.208857989E9</v>
      </c>
      <c r="F51" s="3">
        <v>15.0</v>
      </c>
      <c r="G51" s="3" t="s">
        <v>374</v>
      </c>
      <c r="H51" s="3" t="s">
        <v>454</v>
      </c>
      <c r="I51" s="3" t="s">
        <v>144</v>
      </c>
      <c r="J51" s="3" t="s">
        <v>61</v>
      </c>
      <c r="K51" s="3" t="s">
        <v>517</v>
      </c>
      <c r="L51" s="3" t="s">
        <v>63</v>
      </c>
      <c r="M51" s="3" t="s">
        <v>64</v>
      </c>
      <c r="N51" s="3" t="s">
        <v>518</v>
      </c>
      <c r="O51" s="3" t="s">
        <v>519</v>
      </c>
      <c r="P51" s="3">
        <v>5.0</v>
      </c>
      <c r="Q51" s="3">
        <v>4.0</v>
      </c>
      <c r="R51" s="3">
        <v>1.0</v>
      </c>
      <c r="S51" s="3">
        <v>1.0</v>
      </c>
      <c r="T51" s="3">
        <v>1.0</v>
      </c>
      <c r="U51" s="3">
        <v>1.0</v>
      </c>
      <c r="V51" s="3" t="s">
        <v>40</v>
      </c>
      <c r="W51" s="3" t="s">
        <v>96</v>
      </c>
      <c r="X51" s="3" t="s">
        <v>181</v>
      </c>
      <c r="Y51" s="3" t="s">
        <v>520</v>
      </c>
      <c r="Z51" s="3" t="s">
        <v>521</v>
      </c>
      <c r="AA51" s="3" t="s">
        <v>44</v>
      </c>
    </row>
    <row r="52" ht="22.5" customHeight="1">
      <c r="A52" s="2">
        <v>46109.37580996528</v>
      </c>
      <c r="B52" s="3" t="s">
        <v>522</v>
      </c>
      <c r="C52" s="3" t="s">
        <v>523</v>
      </c>
      <c r="D52" s="3" t="s">
        <v>524</v>
      </c>
      <c r="E52" s="3">
        <v>7.20960254E9</v>
      </c>
      <c r="F52" s="3">
        <v>15.0</v>
      </c>
      <c r="G52" s="3" t="s">
        <v>31</v>
      </c>
      <c r="H52" s="3" t="s">
        <v>454</v>
      </c>
      <c r="I52" s="3" t="s">
        <v>525</v>
      </c>
      <c r="J52" s="3" t="s">
        <v>34</v>
      </c>
      <c r="K52" s="3" t="s">
        <v>526</v>
      </c>
      <c r="L52" s="3" t="s">
        <v>63</v>
      </c>
      <c r="M52" s="3" t="s">
        <v>417</v>
      </c>
      <c r="N52" s="3" t="s">
        <v>527</v>
      </c>
      <c r="O52" s="3" t="s">
        <v>528</v>
      </c>
      <c r="P52" s="3">
        <v>4.0</v>
      </c>
      <c r="Q52" s="4"/>
      <c r="R52" s="4"/>
      <c r="S52" s="4"/>
      <c r="T52" s="4"/>
      <c r="U52" s="3">
        <v>3.0</v>
      </c>
      <c r="V52" s="3" t="s">
        <v>96</v>
      </c>
      <c r="W52" s="3" t="s">
        <v>159</v>
      </c>
      <c r="X52" s="3" t="s">
        <v>529</v>
      </c>
      <c r="Y52" s="3" t="s">
        <v>530</v>
      </c>
      <c r="Z52" s="3" t="s">
        <v>531</v>
      </c>
      <c r="AA52" s="3" t="s">
        <v>44</v>
      </c>
    </row>
    <row r="53" ht="22.5" customHeight="1">
      <c r="A53" s="2">
        <v>46110.569514710645</v>
      </c>
      <c r="B53" s="3" t="s">
        <v>532</v>
      </c>
      <c r="C53" s="3" t="s">
        <v>533</v>
      </c>
      <c r="D53" s="3" t="s">
        <v>534</v>
      </c>
      <c r="E53" s="3" t="s">
        <v>535</v>
      </c>
      <c r="F53" s="3">
        <v>15.0</v>
      </c>
      <c r="G53" s="3" t="s">
        <v>374</v>
      </c>
      <c r="H53" s="3" t="s">
        <v>454</v>
      </c>
      <c r="I53" s="3" t="s">
        <v>33</v>
      </c>
      <c r="J53" s="3" t="s">
        <v>34</v>
      </c>
      <c r="K53" s="3" t="s">
        <v>536</v>
      </c>
      <c r="L53" s="3" t="s">
        <v>63</v>
      </c>
      <c r="M53" s="3" t="s">
        <v>537</v>
      </c>
      <c r="N53" s="3" t="s">
        <v>538</v>
      </c>
      <c r="O53" s="3" t="s">
        <v>539</v>
      </c>
      <c r="P53" s="3">
        <v>3.0</v>
      </c>
      <c r="Q53" s="3">
        <v>5.0</v>
      </c>
      <c r="R53" s="4"/>
      <c r="S53" s="4"/>
      <c r="T53" s="4"/>
      <c r="U53" s="4"/>
      <c r="V53" s="3" t="s">
        <v>41</v>
      </c>
      <c r="W53" s="3" t="s">
        <v>40</v>
      </c>
      <c r="X53" s="3" t="s">
        <v>540</v>
      </c>
      <c r="Y53" s="3" t="s">
        <v>541</v>
      </c>
      <c r="Z53" s="3" t="s">
        <v>542</v>
      </c>
      <c r="AA53" s="3" t="s">
        <v>44</v>
      </c>
    </row>
    <row r="54" ht="22.5" customHeight="1">
      <c r="A54" s="2">
        <v>46111.7076266088</v>
      </c>
      <c r="B54" s="3" t="s">
        <v>543</v>
      </c>
      <c r="C54" s="3" t="s">
        <v>544</v>
      </c>
      <c r="D54" s="3" t="s">
        <v>545</v>
      </c>
      <c r="E54" s="3">
        <v>7.204591817E9</v>
      </c>
      <c r="F54" s="3">
        <v>15.0</v>
      </c>
      <c r="G54" s="3" t="s">
        <v>197</v>
      </c>
      <c r="H54" s="3" t="s">
        <v>454</v>
      </c>
      <c r="I54" s="3" t="s">
        <v>33</v>
      </c>
      <c r="J54" s="3" t="s">
        <v>132</v>
      </c>
      <c r="K54" s="3" t="s">
        <v>546</v>
      </c>
      <c r="L54" s="3" t="s">
        <v>63</v>
      </c>
      <c r="M54" s="3" t="s">
        <v>547</v>
      </c>
      <c r="N54" s="3" t="s">
        <v>548</v>
      </c>
      <c r="O54" s="3" t="s">
        <v>549</v>
      </c>
      <c r="P54" s="3">
        <v>3.0</v>
      </c>
      <c r="Q54" s="3">
        <v>2.0</v>
      </c>
      <c r="R54" s="3">
        <v>1.0</v>
      </c>
      <c r="S54" s="3">
        <v>1.0</v>
      </c>
      <c r="T54" s="3">
        <v>1.0</v>
      </c>
      <c r="U54" s="3">
        <v>1.0</v>
      </c>
      <c r="V54" s="3" t="s">
        <v>96</v>
      </c>
      <c r="W54" s="3" t="s">
        <v>40</v>
      </c>
      <c r="X54" s="3" t="s">
        <v>550</v>
      </c>
      <c r="Y54" s="3" t="s">
        <v>551</v>
      </c>
      <c r="Z54" s="3" t="s">
        <v>552</v>
      </c>
      <c r="AA54" s="3" t="s">
        <v>44</v>
      </c>
    </row>
    <row r="55" ht="22.5" customHeight="1">
      <c r="A55" s="2">
        <v>46111.810670949075</v>
      </c>
      <c r="B55" s="3" t="s">
        <v>553</v>
      </c>
      <c r="C55" s="3" t="s">
        <v>554</v>
      </c>
      <c r="D55" s="3" t="s">
        <v>251</v>
      </c>
      <c r="E55" s="3">
        <v>3.035918105E9</v>
      </c>
      <c r="F55" s="3">
        <v>15.0</v>
      </c>
      <c r="G55" s="3" t="s">
        <v>49</v>
      </c>
      <c r="H55" s="3" t="s">
        <v>454</v>
      </c>
      <c r="I55" s="3" t="s">
        <v>33</v>
      </c>
      <c r="J55" s="3" t="s">
        <v>34</v>
      </c>
      <c r="K55" s="3" t="s">
        <v>555</v>
      </c>
      <c r="L55" s="3" t="s">
        <v>63</v>
      </c>
      <c r="M55" s="3" t="s">
        <v>114</v>
      </c>
      <c r="N55" s="3" t="s">
        <v>556</v>
      </c>
      <c r="O55" s="3" t="s">
        <v>557</v>
      </c>
      <c r="P55" s="3">
        <v>3.0</v>
      </c>
      <c r="Q55" s="3">
        <v>3.0</v>
      </c>
      <c r="R55" s="3">
        <v>2.0</v>
      </c>
      <c r="S55" s="3">
        <v>2.0</v>
      </c>
      <c r="T55" s="3">
        <v>1.0</v>
      </c>
      <c r="U55" s="4"/>
      <c r="V55" s="3" t="s">
        <v>106</v>
      </c>
      <c r="W55" s="3" t="s">
        <v>96</v>
      </c>
      <c r="X55" s="3" t="s">
        <v>558</v>
      </c>
      <c r="Y55" s="3" t="s">
        <v>559</v>
      </c>
      <c r="Z55" s="3" t="s">
        <v>560</v>
      </c>
      <c r="AA55" s="3" t="s">
        <v>44</v>
      </c>
    </row>
    <row r="56" ht="22.5" customHeight="1">
      <c r="A56" s="2">
        <v>46112.835431388885</v>
      </c>
      <c r="B56" s="3" t="s">
        <v>561</v>
      </c>
      <c r="C56" s="3" t="s">
        <v>478</v>
      </c>
      <c r="D56" s="3" t="s">
        <v>524</v>
      </c>
      <c r="E56" s="3" t="s">
        <v>562</v>
      </c>
      <c r="F56" s="3">
        <v>14.0</v>
      </c>
      <c r="G56" s="3" t="s">
        <v>49</v>
      </c>
      <c r="H56" s="3" t="s">
        <v>454</v>
      </c>
      <c r="I56" s="3" t="s">
        <v>525</v>
      </c>
      <c r="J56" s="3" t="s">
        <v>34</v>
      </c>
      <c r="K56" s="3" t="s">
        <v>563</v>
      </c>
      <c r="L56" s="3" t="s">
        <v>63</v>
      </c>
      <c r="M56" s="3" t="s">
        <v>564</v>
      </c>
      <c r="N56" s="3" t="s">
        <v>565</v>
      </c>
      <c r="O56" s="3" t="s">
        <v>566</v>
      </c>
      <c r="P56" s="3">
        <v>3.0</v>
      </c>
      <c r="Q56" s="3">
        <v>1.0</v>
      </c>
      <c r="R56" s="3">
        <v>4.0</v>
      </c>
      <c r="S56" s="3">
        <v>3.0</v>
      </c>
      <c r="T56" s="3">
        <v>1.0</v>
      </c>
      <c r="U56" s="3">
        <v>2.0</v>
      </c>
      <c r="V56" s="3" t="s">
        <v>96</v>
      </c>
      <c r="W56" s="3" t="s">
        <v>159</v>
      </c>
      <c r="X56" s="3" t="s">
        <v>567</v>
      </c>
      <c r="Y56" s="3" t="s">
        <v>568</v>
      </c>
      <c r="Z56" s="3" t="s">
        <v>569</v>
      </c>
      <c r="AA56" s="3" t="s">
        <v>44</v>
      </c>
    </row>
    <row r="57" ht="22.5" customHeight="1">
      <c r="A57" s="2">
        <v>46113.63434625</v>
      </c>
      <c r="B57" s="3" t="s">
        <v>570</v>
      </c>
      <c r="C57" s="3" t="s">
        <v>571</v>
      </c>
      <c r="D57" s="3" t="s">
        <v>572</v>
      </c>
      <c r="E57" s="3" t="s">
        <v>573</v>
      </c>
      <c r="F57" s="3">
        <v>15.0</v>
      </c>
      <c r="G57" s="3" t="s">
        <v>49</v>
      </c>
      <c r="H57" s="3" t="s">
        <v>454</v>
      </c>
      <c r="I57" s="3" t="s">
        <v>525</v>
      </c>
      <c r="J57" s="3" t="s">
        <v>34</v>
      </c>
      <c r="K57" s="3" t="s">
        <v>574</v>
      </c>
      <c r="L57" s="3" t="s">
        <v>63</v>
      </c>
      <c r="M57" s="3" t="s">
        <v>575</v>
      </c>
      <c r="N57" s="3" t="s">
        <v>576</v>
      </c>
      <c r="O57" s="3" t="s">
        <v>577</v>
      </c>
      <c r="P57" s="3">
        <v>3.0</v>
      </c>
      <c r="Q57" s="4"/>
      <c r="R57" s="4"/>
      <c r="S57" s="4"/>
      <c r="T57" s="4"/>
      <c r="U57" s="4"/>
      <c r="V57" s="3" t="s">
        <v>96</v>
      </c>
      <c r="W57" s="3" t="s">
        <v>159</v>
      </c>
      <c r="X57" s="3" t="s">
        <v>578</v>
      </c>
      <c r="Y57" s="3" t="s">
        <v>579</v>
      </c>
      <c r="Z57" s="3" t="s">
        <v>580</v>
      </c>
      <c r="AA57" s="4"/>
    </row>
    <row r="58" ht="22.5" customHeight="1">
      <c r="A58" s="2">
        <v>46114.85037277778</v>
      </c>
      <c r="B58" s="3" t="s">
        <v>581</v>
      </c>
      <c r="C58" s="3" t="s">
        <v>582</v>
      </c>
      <c r="D58" s="3" t="s">
        <v>583</v>
      </c>
      <c r="E58" s="3" t="s">
        <v>584</v>
      </c>
      <c r="F58" s="3">
        <v>14.0</v>
      </c>
      <c r="G58" s="3" t="s">
        <v>31</v>
      </c>
      <c r="H58" s="3" t="s">
        <v>454</v>
      </c>
      <c r="I58" s="3" t="s">
        <v>33</v>
      </c>
      <c r="J58" s="3" t="s">
        <v>61</v>
      </c>
      <c r="K58" s="3" t="s">
        <v>585</v>
      </c>
      <c r="L58" s="3" t="s">
        <v>63</v>
      </c>
      <c r="M58" s="3" t="s">
        <v>586</v>
      </c>
      <c r="N58" s="3" t="s">
        <v>587</v>
      </c>
      <c r="O58" s="3" t="s">
        <v>588</v>
      </c>
      <c r="P58" s="3">
        <v>3.0</v>
      </c>
      <c r="Q58" s="4"/>
      <c r="R58" s="3">
        <v>1.0</v>
      </c>
      <c r="S58" s="4"/>
      <c r="T58" s="4"/>
      <c r="U58" s="4"/>
      <c r="V58" s="3" t="s">
        <v>96</v>
      </c>
      <c r="W58" s="3" t="s">
        <v>409</v>
      </c>
      <c r="X58" s="3" t="s">
        <v>589</v>
      </c>
      <c r="Y58" s="3" t="s">
        <v>590</v>
      </c>
      <c r="Z58" s="3" t="s">
        <v>591</v>
      </c>
      <c r="AA58" s="3" t="s">
        <v>44</v>
      </c>
    </row>
    <row r="59" ht="22.5" customHeight="1">
      <c r="A59" s="2">
        <v>46117.61845675926</v>
      </c>
      <c r="B59" s="3" t="s">
        <v>592</v>
      </c>
      <c r="C59" s="3" t="s">
        <v>593</v>
      </c>
      <c r="D59" s="3" t="s">
        <v>594</v>
      </c>
      <c r="E59" s="3" t="s">
        <v>595</v>
      </c>
      <c r="F59" s="3">
        <v>15.0</v>
      </c>
      <c r="G59" s="3" t="s">
        <v>49</v>
      </c>
      <c r="H59" s="3" t="s">
        <v>454</v>
      </c>
      <c r="I59" s="3" t="s">
        <v>33</v>
      </c>
      <c r="J59" s="3" t="s">
        <v>61</v>
      </c>
      <c r="K59" s="3" t="s">
        <v>596</v>
      </c>
      <c r="L59" s="3" t="s">
        <v>63</v>
      </c>
      <c r="M59" s="3" t="s">
        <v>386</v>
      </c>
      <c r="N59" s="4"/>
      <c r="O59" s="3" t="s">
        <v>597</v>
      </c>
      <c r="P59" s="3">
        <v>1.0</v>
      </c>
      <c r="Q59" s="4"/>
      <c r="R59" s="4"/>
      <c r="S59" s="4"/>
      <c r="T59" s="4"/>
      <c r="U59" s="4"/>
      <c r="V59" s="3" t="s">
        <v>96</v>
      </c>
      <c r="W59" s="3" t="s">
        <v>106</v>
      </c>
      <c r="X59" s="3" t="s">
        <v>598</v>
      </c>
      <c r="Y59" s="3" t="s">
        <v>599</v>
      </c>
      <c r="Z59" s="3" t="s">
        <v>600</v>
      </c>
      <c r="AA59" s="3" t="s">
        <v>44</v>
      </c>
    </row>
    <row r="60" ht="22.5" customHeight="1">
      <c r="A60" s="2">
        <v>46121.874966076386</v>
      </c>
      <c r="B60" s="3" t="s">
        <v>601</v>
      </c>
      <c r="C60" s="3" t="s">
        <v>602</v>
      </c>
      <c r="D60" s="3" t="s">
        <v>603</v>
      </c>
      <c r="E60" s="3" t="s">
        <v>297</v>
      </c>
      <c r="F60" s="3">
        <v>14.0</v>
      </c>
      <c r="G60" s="3" t="s">
        <v>73</v>
      </c>
      <c r="H60" s="3" t="s">
        <v>454</v>
      </c>
      <c r="I60" s="3" t="s">
        <v>33</v>
      </c>
      <c r="J60" s="3" t="s">
        <v>34</v>
      </c>
      <c r="K60" s="3" t="s">
        <v>604</v>
      </c>
      <c r="L60" s="3" t="s">
        <v>63</v>
      </c>
      <c r="M60" s="3" t="s">
        <v>64</v>
      </c>
      <c r="N60" s="3" t="s">
        <v>482</v>
      </c>
      <c r="O60" s="4"/>
      <c r="P60" s="3">
        <v>3.0</v>
      </c>
      <c r="Q60" s="3">
        <v>5.0</v>
      </c>
      <c r="R60" s="4"/>
      <c r="S60" s="4"/>
      <c r="T60" s="4"/>
      <c r="U60" s="4"/>
      <c r="V60" s="3" t="s">
        <v>41</v>
      </c>
      <c r="W60" s="3" t="s">
        <v>40</v>
      </c>
      <c r="X60" s="4"/>
      <c r="Y60" s="3" t="s">
        <v>605</v>
      </c>
      <c r="Z60" s="3" t="s">
        <v>606</v>
      </c>
      <c r="AA60" s="3" t="s">
        <v>44</v>
      </c>
    </row>
    <row r="61" ht="22.5" customHeight="1">
      <c r="A61" s="2">
        <v>46125.87934141204</v>
      </c>
      <c r="B61" s="3" t="s">
        <v>607</v>
      </c>
      <c r="C61" s="3" t="s">
        <v>608</v>
      </c>
      <c r="D61" s="3" t="s">
        <v>609</v>
      </c>
      <c r="E61" s="3" t="s">
        <v>610</v>
      </c>
      <c r="F61" s="3">
        <v>15.0</v>
      </c>
      <c r="G61" s="3" t="s">
        <v>49</v>
      </c>
      <c r="H61" s="3" t="s">
        <v>454</v>
      </c>
      <c r="I61" s="3" t="s">
        <v>144</v>
      </c>
      <c r="J61" s="3" t="s">
        <v>132</v>
      </c>
      <c r="K61" s="3" t="s">
        <v>611</v>
      </c>
      <c r="L61" s="3" t="s">
        <v>63</v>
      </c>
      <c r="M61" s="3" t="s">
        <v>386</v>
      </c>
      <c r="N61" s="3" t="s">
        <v>612</v>
      </c>
      <c r="O61" s="3" t="s">
        <v>613</v>
      </c>
      <c r="P61" s="3">
        <v>3.0</v>
      </c>
      <c r="Q61" s="4"/>
      <c r="R61" s="4"/>
      <c r="S61" s="4"/>
      <c r="T61" s="4"/>
      <c r="U61" s="4"/>
      <c r="V61" s="3" t="s">
        <v>96</v>
      </c>
      <c r="W61" s="3" t="s">
        <v>106</v>
      </c>
      <c r="X61" s="4"/>
      <c r="Y61" s="3" t="s">
        <v>614</v>
      </c>
      <c r="Z61" s="3" t="s">
        <v>615</v>
      </c>
      <c r="AA61" s="3" t="s">
        <v>44</v>
      </c>
    </row>
    <row r="62" ht="22.5" customHeight="1">
      <c r="A62" s="2">
        <v>46131.401625300925</v>
      </c>
      <c r="B62" s="3" t="s">
        <v>616</v>
      </c>
      <c r="C62" s="3" t="s">
        <v>617</v>
      </c>
      <c r="D62" s="3" t="s">
        <v>618</v>
      </c>
      <c r="E62" s="3" t="s">
        <v>619</v>
      </c>
      <c r="F62" s="3">
        <v>14.0</v>
      </c>
      <c r="G62" s="3" t="s">
        <v>73</v>
      </c>
      <c r="H62" s="3" t="s">
        <v>454</v>
      </c>
      <c r="I62" s="3" t="s">
        <v>33</v>
      </c>
      <c r="J62" s="3" t="s">
        <v>61</v>
      </c>
      <c r="K62" s="3" t="s">
        <v>620</v>
      </c>
      <c r="L62" s="3" t="s">
        <v>63</v>
      </c>
      <c r="M62" s="3" t="s">
        <v>621</v>
      </c>
      <c r="N62" s="3" t="s">
        <v>622</v>
      </c>
      <c r="O62" s="3" t="s">
        <v>623</v>
      </c>
      <c r="P62" s="3">
        <v>3.0</v>
      </c>
      <c r="Q62" s="3">
        <v>2.0</v>
      </c>
      <c r="R62" s="4"/>
      <c r="S62" s="4"/>
      <c r="T62" s="4"/>
      <c r="U62" s="3">
        <v>2.0</v>
      </c>
      <c r="V62" s="3" t="s">
        <v>96</v>
      </c>
      <c r="W62" s="3" t="s">
        <v>106</v>
      </c>
      <c r="X62" s="3" t="s">
        <v>624</v>
      </c>
      <c r="Y62" s="3" t="s">
        <v>625</v>
      </c>
      <c r="Z62" s="3" t="s">
        <v>162</v>
      </c>
      <c r="AA62" s="3" t="s">
        <v>44</v>
      </c>
    </row>
    <row r="69">
      <c r="B69" s="7" t="s">
        <v>544</v>
      </c>
      <c r="C69" s="7" t="s">
        <v>545</v>
      </c>
    </row>
    <row r="70">
      <c r="B70" s="7" t="s">
        <v>461</v>
      </c>
      <c r="C70" s="7" t="s">
        <v>462</v>
      </c>
    </row>
    <row r="71">
      <c r="B71" s="7" t="s">
        <v>451</v>
      </c>
      <c r="C71" s="7" t="s">
        <v>452</v>
      </c>
    </row>
    <row r="72">
      <c r="B72" s="7" t="s">
        <v>121</v>
      </c>
      <c r="C72" s="7" t="s">
        <v>626</v>
      </c>
    </row>
    <row r="73">
      <c r="B73" s="7" t="s">
        <v>364</v>
      </c>
      <c r="C73" s="7" t="s">
        <v>627</v>
      </c>
    </row>
    <row r="74">
      <c r="B74" s="7" t="s">
        <v>628</v>
      </c>
      <c r="C74" s="7" t="s">
        <v>629</v>
      </c>
    </row>
    <row r="75">
      <c r="B75" s="7" t="s">
        <v>487</v>
      </c>
      <c r="C75" s="7" t="s">
        <v>488</v>
      </c>
    </row>
    <row r="76">
      <c r="B76" s="7" t="s">
        <v>91</v>
      </c>
      <c r="C76" s="7" t="s">
        <v>92</v>
      </c>
    </row>
    <row r="77">
      <c r="B77" s="7" t="s">
        <v>299</v>
      </c>
      <c r="C77" s="7" t="s">
        <v>300</v>
      </c>
    </row>
    <row r="78">
      <c r="B78" s="7" t="s">
        <v>152</v>
      </c>
      <c r="C78" s="7" t="s">
        <v>153</v>
      </c>
    </row>
    <row r="79">
      <c r="B79" s="7" t="s">
        <v>130</v>
      </c>
      <c r="C79" s="7" t="s">
        <v>131</v>
      </c>
    </row>
    <row r="80">
      <c r="B80" s="7" t="s">
        <v>478</v>
      </c>
      <c r="C80" s="7" t="s">
        <v>479</v>
      </c>
    </row>
    <row r="81">
      <c r="B81" s="7" t="s">
        <v>470</v>
      </c>
      <c r="C81" s="7" t="s">
        <v>47</v>
      </c>
    </row>
    <row r="82">
      <c r="B82" s="7" t="s">
        <v>28</v>
      </c>
      <c r="C82" s="7" t="s">
        <v>29</v>
      </c>
    </row>
    <row r="83">
      <c r="B83" s="7" t="s">
        <v>164</v>
      </c>
      <c r="C83" s="7" t="s">
        <v>165</v>
      </c>
    </row>
    <row r="84">
      <c r="B84" s="7" t="s">
        <v>554</v>
      </c>
      <c r="C84" s="7" t="s">
        <v>251</v>
      </c>
    </row>
    <row r="85">
      <c r="B85" s="7" t="s">
        <v>593</v>
      </c>
      <c r="C85" s="7" t="s">
        <v>594</v>
      </c>
    </row>
    <row r="86">
      <c r="B86" s="7" t="s">
        <v>608</v>
      </c>
      <c r="C86" s="7" t="s">
        <v>609</v>
      </c>
    </row>
    <row r="87">
      <c r="B87" s="7" t="s">
        <v>101</v>
      </c>
      <c r="C87" s="7" t="s">
        <v>102</v>
      </c>
    </row>
    <row r="88">
      <c r="B88" s="7" t="s">
        <v>630</v>
      </c>
      <c r="C88" s="7" t="s">
        <v>631</v>
      </c>
    </row>
    <row r="89">
      <c r="B89" s="7" t="s">
        <v>71</v>
      </c>
      <c r="C89" s="7" t="s">
        <v>72</v>
      </c>
    </row>
    <row r="90">
      <c r="B90" s="7" t="s">
        <v>602</v>
      </c>
      <c r="C90" s="7" t="s">
        <v>603</v>
      </c>
    </row>
    <row r="91">
      <c r="B91" s="7" t="s">
        <v>222</v>
      </c>
      <c r="C91" s="7" t="s">
        <v>223</v>
      </c>
    </row>
    <row r="92">
      <c r="B92" s="7" t="s">
        <v>110</v>
      </c>
      <c r="C92" s="7" t="s">
        <v>111</v>
      </c>
    </row>
    <row r="93">
      <c r="B93" s="7" t="s">
        <v>239</v>
      </c>
      <c r="C93" s="7" t="s">
        <v>240</v>
      </c>
    </row>
    <row r="94">
      <c r="B94" s="8"/>
      <c r="C94" s="8"/>
    </row>
    <row r="95">
      <c r="B95" s="7" t="s">
        <v>632</v>
      </c>
      <c r="C95" s="7" t="s">
        <v>232</v>
      </c>
    </row>
    <row r="96">
      <c r="B96" s="7" t="s">
        <v>174</v>
      </c>
      <c r="C96" s="7" t="s">
        <v>175</v>
      </c>
    </row>
    <row r="97">
      <c r="B97" s="7" t="s">
        <v>372</v>
      </c>
      <c r="C97" s="7" t="s">
        <v>373</v>
      </c>
    </row>
    <row r="98">
      <c r="B98" s="7" t="s">
        <v>81</v>
      </c>
      <c r="C98" s="7" t="s">
        <v>82</v>
      </c>
    </row>
    <row r="99">
      <c r="B99" s="8"/>
      <c r="C99" s="8"/>
    </row>
    <row r="100">
      <c r="B100" s="8"/>
      <c r="C100" s="8"/>
    </row>
    <row r="101">
      <c r="B101" s="8"/>
      <c r="C101" s="8"/>
    </row>
    <row r="102">
      <c r="B102" s="7" t="s">
        <v>231</v>
      </c>
      <c r="C102" s="7" t="s">
        <v>232</v>
      </c>
    </row>
    <row r="103">
      <c r="B103" s="7" t="s">
        <v>58</v>
      </c>
      <c r="C103" s="7" t="s">
        <v>59</v>
      </c>
    </row>
    <row r="104">
      <c r="B104" s="7" t="s">
        <v>250</v>
      </c>
      <c r="C104" s="7" t="s">
        <v>251</v>
      </c>
    </row>
    <row r="105">
      <c r="B105" s="7" t="s">
        <v>523</v>
      </c>
      <c r="C105" s="7" t="s">
        <v>524</v>
      </c>
    </row>
    <row r="106">
      <c r="B106" s="7" t="s">
        <v>478</v>
      </c>
      <c r="C106" s="7" t="s">
        <v>524</v>
      </c>
    </row>
    <row r="107">
      <c r="B107" s="8"/>
      <c r="C107" s="8"/>
    </row>
    <row r="108">
      <c r="B108" s="8"/>
      <c r="C108" s="8"/>
    </row>
    <row r="109">
      <c r="B109" s="8"/>
      <c r="C109" s="8"/>
    </row>
    <row r="110">
      <c r="B110" s="7" t="s">
        <v>185</v>
      </c>
      <c r="C110" s="7" t="s">
        <v>186</v>
      </c>
    </row>
    <row r="111">
      <c r="B111" s="8"/>
      <c r="C111" s="8"/>
    </row>
    <row r="112">
      <c r="B112" s="8"/>
      <c r="C112" s="8"/>
    </row>
    <row r="113">
      <c r="B113" s="7" t="s">
        <v>533</v>
      </c>
      <c r="C113" s="7" t="s">
        <v>534</v>
      </c>
    </row>
    <row r="114">
      <c r="B114" s="7" t="s">
        <v>212</v>
      </c>
      <c r="C114" s="7" t="s">
        <v>213</v>
      </c>
    </row>
    <row r="115">
      <c r="B115" s="8"/>
      <c r="C115" s="8"/>
    </row>
    <row r="116">
      <c r="B116" s="8"/>
      <c r="C116" s="8"/>
    </row>
    <row r="117">
      <c r="B117" s="8"/>
      <c r="C117" s="8"/>
    </row>
    <row r="118">
      <c r="B118" s="8"/>
      <c r="C118" s="8"/>
    </row>
    <row r="119">
      <c r="B119" s="7" t="s">
        <v>194</v>
      </c>
      <c r="C119" s="7" t="s">
        <v>195</v>
      </c>
    </row>
    <row r="120">
      <c r="B120" s="8"/>
      <c r="C120" s="8"/>
    </row>
    <row r="121">
      <c r="B121" s="8"/>
      <c r="C121" s="8"/>
    </row>
    <row r="122">
      <c r="B122" s="8"/>
      <c r="C122" s="8"/>
    </row>
    <row r="123">
      <c r="B123" s="8"/>
      <c r="C123" s="8"/>
    </row>
    <row r="124">
      <c r="B124" s="8"/>
      <c r="C124" s="8"/>
    </row>
    <row r="125">
      <c r="B125" s="8"/>
      <c r="C125" s="8"/>
    </row>
    <row r="126">
      <c r="B126" s="7" t="s">
        <v>617</v>
      </c>
      <c r="C126" s="7" t="s">
        <v>153</v>
      </c>
    </row>
    <row r="127">
      <c r="B127" s="7" t="s">
        <v>204</v>
      </c>
      <c r="C127" s="7" t="s">
        <v>205</v>
      </c>
    </row>
    <row r="128">
      <c r="B128" s="7" t="s">
        <v>515</v>
      </c>
      <c r="C128" s="7" t="s">
        <v>516</v>
      </c>
    </row>
    <row r="129">
      <c r="B129" s="7" t="s">
        <v>478</v>
      </c>
      <c r="C129" s="7" t="s">
        <v>373</v>
      </c>
    </row>
    <row r="130">
      <c r="B130" s="7" t="s">
        <v>505</v>
      </c>
      <c r="C130" s="7" t="s">
        <v>506</v>
      </c>
    </row>
    <row r="131">
      <c r="B131" s="8"/>
      <c r="C131" s="8"/>
    </row>
    <row r="132">
      <c r="B132" s="8"/>
      <c r="C132" s="8"/>
    </row>
    <row r="133">
      <c r="B133" s="7" t="s">
        <v>316</v>
      </c>
      <c r="C133" s="7" t="s">
        <v>317</v>
      </c>
    </row>
    <row r="134">
      <c r="B134" s="7" t="s">
        <v>327</v>
      </c>
      <c r="C134" s="7" t="s">
        <v>328</v>
      </c>
    </row>
    <row r="135">
      <c r="B135" s="7" t="s">
        <v>633</v>
      </c>
      <c r="C135" s="7" t="s">
        <v>634</v>
      </c>
    </row>
    <row r="136">
      <c r="B136" s="7" t="s">
        <v>259</v>
      </c>
      <c r="C136" s="7" t="s">
        <v>635</v>
      </c>
    </row>
    <row r="137">
      <c r="B137" s="8"/>
      <c r="C137" s="8"/>
    </row>
    <row r="138">
      <c r="B138" s="8"/>
      <c r="C138" s="8"/>
    </row>
    <row r="139">
      <c r="B139" s="8"/>
      <c r="C139" s="8"/>
    </row>
    <row r="140">
      <c r="B140" s="8"/>
      <c r="C140" s="8"/>
    </row>
    <row r="141">
      <c r="B141" s="8"/>
      <c r="C141" s="8"/>
    </row>
    <row r="142">
      <c r="B142" s="7" t="s">
        <v>571</v>
      </c>
      <c r="C142" s="7" t="s">
        <v>572</v>
      </c>
    </row>
    <row r="143">
      <c r="B143" s="8"/>
      <c r="C143" s="8"/>
    </row>
    <row r="144">
      <c r="B144" s="7" t="s">
        <v>393</v>
      </c>
      <c r="C144" s="7" t="s">
        <v>394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7" max="8" width="16.38"/>
    <col customWidth="1" min="10" max="10" width="15.5"/>
    <col customWidth="1" min="15" max="15" width="16.25"/>
    <col customWidth="1" min="16" max="16" width="17.38"/>
    <col customWidth="1" min="17" max="22" width="16.13"/>
    <col customWidth="1" min="23" max="23" width="17.0"/>
  </cols>
  <sheetData>
    <row r="1">
      <c r="A1" s="9"/>
      <c r="B1" s="9"/>
      <c r="C1" s="10"/>
      <c r="D1" s="10"/>
      <c r="E1" s="10" t="s">
        <v>636</v>
      </c>
      <c r="P1" s="11"/>
      <c r="Q1" s="12" t="s">
        <v>637</v>
      </c>
      <c r="R1" s="13"/>
      <c r="S1" s="13"/>
      <c r="T1" s="13"/>
      <c r="U1" s="13"/>
      <c r="V1" s="13"/>
      <c r="W1" s="13"/>
      <c r="X1" s="14"/>
    </row>
    <row r="2">
      <c r="A2" s="15"/>
      <c r="B2" s="15"/>
      <c r="C2" s="15"/>
      <c r="D2" s="15"/>
      <c r="E2" s="15" t="s">
        <v>638</v>
      </c>
      <c r="P2" s="11"/>
      <c r="Q2" s="10" t="s">
        <v>639</v>
      </c>
      <c r="R2" s="16">
        <f>COUNTIF(G:G,"=June 1st - June 5th")</f>
        <v>50</v>
      </c>
      <c r="S2" s="10" t="s">
        <v>640</v>
      </c>
      <c r="T2" s="16">
        <f>COUNTIFS(G:G,"June 1st - June 5th", K:K,"Teach")</f>
        <v>43</v>
      </c>
      <c r="U2" s="10" t="s">
        <v>641</v>
      </c>
      <c r="V2" s="16">
        <f>COUNTIFS(G:G,"June 1st - June 5th", K:K,"?")</f>
        <v>0</v>
      </c>
      <c r="W2" s="10"/>
      <c r="X2" s="16"/>
    </row>
    <row r="3">
      <c r="A3" s="17"/>
      <c r="B3" s="18"/>
      <c r="C3" s="19" t="s">
        <v>642</v>
      </c>
      <c r="D3" s="20"/>
      <c r="E3" s="20"/>
      <c r="F3" s="21"/>
      <c r="G3" s="19" t="s">
        <v>643</v>
      </c>
      <c r="H3" s="21"/>
      <c r="I3" s="22" t="s">
        <v>644</v>
      </c>
      <c r="J3" s="20"/>
      <c r="K3" s="21"/>
      <c r="L3" s="22" t="s">
        <v>645</v>
      </c>
      <c r="M3" s="20"/>
      <c r="N3" s="20"/>
      <c r="O3" s="20"/>
      <c r="P3" s="21"/>
      <c r="Q3" s="23" t="s">
        <v>646</v>
      </c>
      <c r="R3" s="16">
        <f>COUNTIF(H:H,"=June 8th - June 12th")</f>
        <v>51</v>
      </c>
      <c r="S3" s="10" t="s">
        <v>647</v>
      </c>
      <c r="T3" s="16">
        <f>COUNTIFS(H:H,"June 8th - June 12th", K:K,"Teach")</f>
        <v>43</v>
      </c>
      <c r="U3" s="10" t="s">
        <v>648</v>
      </c>
      <c r="V3" s="16">
        <f>COUNTIFS(H:H,"June 8th - June 12th", K:K,"?")</f>
        <v>0</v>
      </c>
      <c r="W3" s="10"/>
      <c r="X3" s="16"/>
    </row>
    <row r="4">
      <c r="A4" s="24" t="s">
        <v>649</v>
      </c>
      <c r="B4" s="25"/>
      <c r="C4" s="26" t="s">
        <v>650</v>
      </c>
      <c r="D4" s="27" t="s">
        <v>651</v>
      </c>
      <c r="E4" s="24" t="s">
        <v>652</v>
      </c>
      <c r="F4" s="25" t="s">
        <v>653</v>
      </c>
      <c r="G4" s="28" t="s">
        <v>654</v>
      </c>
      <c r="H4" s="25" t="s">
        <v>655</v>
      </c>
      <c r="I4" s="24" t="s">
        <v>656</v>
      </c>
      <c r="J4" s="27" t="s">
        <v>657</v>
      </c>
      <c r="K4" s="25" t="s">
        <v>658</v>
      </c>
      <c r="L4" s="24" t="s">
        <v>659</v>
      </c>
      <c r="M4" s="24" t="s">
        <v>660</v>
      </c>
      <c r="N4" s="24" t="s">
        <v>661</v>
      </c>
      <c r="O4" s="24" t="s">
        <v>662</v>
      </c>
      <c r="P4" s="29" t="s">
        <v>663</v>
      </c>
      <c r="Q4" s="30" t="s">
        <v>664</v>
      </c>
      <c r="R4" s="25">
        <f>COUNTA(E:E)-3</f>
        <v>61</v>
      </c>
      <c r="S4" s="27" t="s">
        <v>665</v>
      </c>
      <c r="T4" s="25">
        <f>COUNTIF(K:K,"=Teach")</f>
        <v>52</v>
      </c>
      <c r="U4" s="27" t="s">
        <v>666</v>
      </c>
      <c r="V4" s="25">
        <f>COUNTIF(K:K,"=?")</f>
        <v>0</v>
      </c>
      <c r="W4" s="27" t="s">
        <v>667</v>
      </c>
      <c r="X4" s="25">
        <f>COUNTIF(K5:K65,"=")</f>
        <v>0</v>
      </c>
    </row>
    <row r="5">
      <c r="A5" s="31" t="s">
        <v>451</v>
      </c>
      <c r="B5" s="32" t="s">
        <v>452</v>
      </c>
      <c r="C5" s="31"/>
      <c r="D5" s="33" t="s">
        <v>453</v>
      </c>
      <c r="E5" s="31" t="s">
        <v>450</v>
      </c>
      <c r="F5" s="32"/>
      <c r="G5" s="34" t="s">
        <v>132</v>
      </c>
      <c r="H5" s="35" t="s">
        <v>61</v>
      </c>
      <c r="I5" s="36" t="s">
        <v>668</v>
      </c>
      <c r="J5" s="33">
        <v>13.0</v>
      </c>
      <c r="K5" s="37" t="s">
        <v>669</v>
      </c>
      <c r="L5" s="33"/>
      <c r="M5" s="33" t="s">
        <v>40</v>
      </c>
      <c r="N5" s="33" t="s">
        <v>40</v>
      </c>
      <c r="O5" s="31"/>
      <c r="P5" s="32"/>
      <c r="Q5" s="12" t="s">
        <v>670</v>
      </c>
      <c r="R5" s="38"/>
      <c r="S5" s="38"/>
      <c r="T5" s="38"/>
      <c r="U5" s="38"/>
      <c r="V5" s="39"/>
      <c r="W5" s="40"/>
      <c r="X5" s="40"/>
    </row>
    <row r="6">
      <c r="A6" s="31" t="s">
        <v>544</v>
      </c>
      <c r="B6" s="32" t="s">
        <v>545</v>
      </c>
      <c r="C6" s="31"/>
      <c r="D6" s="33">
        <v>7.204591817E9</v>
      </c>
      <c r="E6" s="31" t="s">
        <v>543</v>
      </c>
      <c r="F6" s="32"/>
      <c r="G6" s="34" t="s">
        <v>132</v>
      </c>
      <c r="H6" s="32"/>
      <c r="I6" s="41" t="s">
        <v>551</v>
      </c>
      <c r="J6" s="33">
        <v>6.0</v>
      </c>
      <c r="K6" s="37" t="s">
        <v>669</v>
      </c>
      <c r="L6" s="31"/>
      <c r="M6" s="33" t="s">
        <v>96</v>
      </c>
      <c r="N6" s="33" t="s">
        <v>40</v>
      </c>
      <c r="O6" s="31"/>
      <c r="P6" s="32"/>
      <c r="Q6" s="37" t="s">
        <v>669</v>
      </c>
      <c r="R6" s="37" t="s">
        <v>671</v>
      </c>
      <c r="S6" s="37" t="s">
        <v>672</v>
      </c>
      <c r="T6" s="42" t="s">
        <v>673</v>
      </c>
      <c r="U6" s="43" t="s">
        <v>674</v>
      </c>
      <c r="V6" s="44" t="s">
        <v>674</v>
      </c>
      <c r="W6" s="45"/>
    </row>
    <row r="7">
      <c r="A7" s="31" t="s">
        <v>58</v>
      </c>
      <c r="B7" s="32" t="s">
        <v>59</v>
      </c>
      <c r="C7" s="31"/>
      <c r="D7" s="33" t="s">
        <v>60</v>
      </c>
      <c r="E7" s="31" t="s">
        <v>57</v>
      </c>
      <c r="F7" s="32"/>
      <c r="G7" s="34"/>
      <c r="H7" s="46" t="s">
        <v>61</v>
      </c>
      <c r="I7" s="41" t="s">
        <v>68</v>
      </c>
      <c r="J7" s="33">
        <v>13.0</v>
      </c>
      <c r="K7" s="37" t="s">
        <v>672</v>
      </c>
      <c r="L7" s="33" t="s">
        <v>675</v>
      </c>
      <c r="M7" s="33" t="s">
        <v>40</v>
      </c>
      <c r="N7" s="33" t="s">
        <v>41</v>
      </c>
      <c r="O7" s="33" t="s">
        <v>676</v>
      </c>
      <c r="P7" s="35" t="s">
        <v>677</v>
      </c>
      <c r="Q7" s="47" t="s">
        <v>678</v>
      </c>
      <c r="R7" s="48" t="s">
        <v>679</v>
      </c>
      <c r="S7" s="47" t="s">
        <v>680</v>
      </c>
      <c r="T7" s="48" t="s">
        <v>681</v>
      </c>
      <c r="U7" s="48" t="s">
        <v>682</v>
      </c>
      <c r="V7" s="48" t="s">
        <v>683</v>
      </c>
    </row>
    <row r="8">
      <c r="A8" s="31" t="s">
        <v>372</v>
      </c>
      <c r="B8" s="32" t="s">
        <v>373</v>
      </c>
      <c r="C8" s="31"/>
      <c r="D8" s="33">
        <v>7.209686448E9</v>
      </c>
      <c r="E8" s="31" t="s">
        <v>371</v>
      </c>
      <c r="F8" s="32"/>
      <c r="G8" s="34" t="s">
        <v>132</v>
      </c>
      <c r="H8" s="46" t="s">
        <v>61</v>
      </c>
      <c r="I8" s="36" t="s">
        <v>379</v>
      </c>
      <c r="J8" s="33">
        <v>12.0</v>
      </c>
      <c r="K8" s="37" t="s">
        <v>672</v>
      </c>
      <c r="L8" s="33" t="s">
        <v>684</v>
      </c>
      <c r="M8" s="33" t="s">
        <v>40</v>
      </c>
      <c r="N8" s="33" t="s">
        <v>41</v>
      </c>
      <c r="O8" s="33" t="s">
        <v>676</v>
      </c>
      <c r="P8" s="49" t="s">
        <v>685</v>
      </c>
      <c r="Q8" s="50"/>
      <c r="R8" s="50"/>
      <c r="S8" s="50"/>
      <c r="T8" s="50"/>
      <c r="U8" s="50"/>
      <c r="V8" s="50"/>
    </row>
    <row r="9">
      <c r="A9" s="31" t="s">
        <v>632</v>
      </c>
      <c r="B9" s="32" t="s">
        <v>232</v>
      </c>
      <c r="C9" s="51"/>
      <c r="D9" s="34">
        <v>7.209959386E9</v>
      </c>
      <c r="E9" s="34" t="s">
        <v>307</v>
      </c>
      <c r="F9" s="52"/>
      <c r="G9" s="34" t="s">
        <v>132</v>
      </c>
      <c r="H9" s="46" t="s">
        <v>61</v>
      </c>
      <c r="I9" s="53" t="s">
        <v>313</v>
      </c>
      <c r="J9" s="34">
        <v>20.0</v>
      </c>
      <c r="K9" s="37" t="s">
        <v>672</v>
      </c>
      <c r="L9" s="33" t="s">
        <v>686</v>
      </c>
      <c r="M9" s="34" t="s">
        <v>40</v>
      </c>
      <c r="N9" s="34" t="s">
        <v>96</v>
      </c>
      <c r="O9" s="33" t="s">
        <v>676</v>
      </c>
      <c r="P9" s="46" t="s">
        <v>687</v>
      </c>
    </row>
    <row r="10">
      <c r="A10" s="31" t="s">
        <v>478</v>
      </c>
      <c r="B10" s="32" t="s">
        <v>479</v>
      </c>
      <c r="C10" s="31"/>
      <c r="D10" s="33">
        <v>3.034898878E9</v>
      </c>
      <c r="E10" s="31" t="s">
        <v>477</v>
      </c>
      <c r="F10" s="32"/>
      <c r="G10" s="34" t="s">
        <v>132</v>
      </c>
      <c r="H10" s="46" t="s">
        <v>61</v>
      </c>
      <c r="I10" s="31"/>
      <c r="J10" s="31"/>
      <c r="K10" s="37" t="s">
        <v>671</v>
      </c>
      <c r="L10" s="31"/>
      <c r="M10" s="33" t="s">
        <v>96</v>
      </c>
      <c r="N10" s="33" t="s">
        <v>40</v>
      </c>
      <c r="O10" s="31"/>
      <c r="P10" s="32"/>
      <c r="Q10" s="54"/>
      <c r="R10" s="54"/>
    </row>
    <row r="11">
      <c r="A11" s="31" t="s">
        <v>515</v>
      </c>
      <c r="B11" s="32" t="s">
        <v>516</v>
      </c>
      <c r="C11" s="31"/>
      <c r="D11" s="33">
        <v>7.208857989E9</v>
      </c>
      <c r="E11" s="31" t="s">
        <v>514</v>
      </c>
      <c r="F11" s="32"/>
      <c r="G11" s="34"/>
      <c r="H11" s="46" t="s">
        <v>61</v>
      </c>
      <c r="I11" s="31"/>
      <c r="J11" s="31"/>
      <c r="K11" s="37" t="s">
        <v>671</v>
      </c>
      <c r="L11" s="31"/>
      <c r="M11" s="33" t="s">
        <v>40</v>
      </c>
      <c r="N11" s="33" t="s">
        <v>96</v>
      </c>
      <c r="O11" s="31"/>
      <c r="P11" s="35" t="s">
        <v>688</v>
      </c>
      <c r="Q11" s="55"/>
      <c r="R11" s="55"/>
    </row>
    <row r="12">
      <c r="A12" s="31" t="s">
        <v>571</v>
      </c>
      <c r="B12" s="32" t="s">
        <v>572</v>
      </c>
      <c r="C12" s="31"/>
      <c r="D12" s="33" t="s">
        <v>573</v>
      </c>
      <c r="E12" s="31" t="s">
        <v>570</v>
      </c>
      <c r="F12" s="32"/>
      <c r="G12" s="34" t="s">
        <v>132</v>
      </c>
      <c r="H12" s="46" t="s">
        <v>61</v>
      </c>
      <c r="I12" s="31"/>
      <c r="J12" s="31"/>
      <c r="K12" s="37" t="s">
        <v>671</v>
      </c>
      <c r="L12" s="31"/>
      <c r="M12" s="33" t="s">
        <v>96</v>
      </c>
      <c r="N12" s="33" t="s">
        <v>159</v>
      </c>
      <c r="O12" s="31"/>
      <c r="P12" s="32"/>
      <c r="Q12" s="54"/>
      <c r="R12" s="54"/>
    </row>
    <row r="13">
      <c r="A13" s="34" t="s">
        <v>299</v>
      </c>
      <c r="B13" s="46" t="s">
        <v>300</v>
      </c>
      <c r="C13" s="51"/>
      <c r="D13" s="34" t="s">
        <v>301</v>
      </c>
      <c r="E13" s="34" t="s">
        <v>298</v>
      </c>
      <c r="F13" s="52"/>
      <c r="G13" s="34" t="s">
        <v>132</v>
      </c>
      <c r="H13" s="46" t="s">
        <v>61</v>
      </c>
      <c r="I13" s="34"/>
      <c r="J13" s="34"/>
      <c r="K13" s="37" t="s">
        <v>671</v>
      </c>
      <c r="L13" s="33"/>
      <c r="M13" s="34" t="s">
        <v>106</v>
      </c>
      <c r="N13" s="34" t="s">
        <v>40</v>
      </c>
      <c r="O13" s="33" t="s">
        <v>689</v>
      </c>
      <c r="P13" s="46" t="s">
        <v>690</v>
      </c>
    </row>
    <row r="14">
      <c r="A14" s="54" t="s">
        <v>403</v>
      </c>
      <c r="B14" s="56" t="s">
        <v>404</v>
      </c>
      <c r="C14" s="54"/>
      <c r="D14" s="57" t="s">
        <v>405</v>
      </c>
      <c r="E14" s="54" t="s">
        <v>402</v>
      </c>
      <c r="F14" s="58"/>
      <c r="G14" s="59" t="s">
        <v>132</v>
      </c>
      <c r="H14" s="60" t="s">
        <v>61</v>
      </c>
      <c r="I14" s="31"/>
      <c r="J14" s="31"/>
      <c r="K14" s="61" t="s">
        <v>674</v>
      </c>
      <c r="L14" s="57" t="s">
        <v>691</v>
      </c>
      <c r="M14" s="57" t="s">
        <v>409</v>
      </c>
      <c r="N14" s="57" t="s">
        <v>409</v>
      </c>
      <c r="O14" s="57" t="s">
        <v>689</v>
      </c>
      <c r="P14" s="56"/>
      <c r="Q14" s="54"/>
      <c r="R14" s="54"/>
      <c r="S14" s="62"/>
      <c r="T14" s="62"/>
      <c r="U14" s="62"/>
      <c r="V14" s="62"/>
      <c r="W14" s="62"/>
      <c r="X14" s="62"/>
      <c r="Y14" s="62"/>
    </row>
    <row r="15">
      <c r="A15" s="55" t="s">
        <v>316</v>
      </c>
      <c r="B15" s="63" t="s">
        <v>317</v>
      </c>
      <c r="C15" s="55"/>
      <c r="D15" s="64" t="s">
        <v>318</v>
      </c>
      <c r="E15" s="55" t="s">
        <v>315</v>
      </c>
      <c r="F15" s="63"/>
      <c r="G15" s="59" t="s">
        <v>132</v>
      </c>
      <c r="H15" s="60" t="s">
        <v>61</v>
      </c>
      <c r="I15" s="65" t="s">
        <v>324</v>
      </c>
      <c r="J15" s="64">
        <v>22.0</v>
      </c>
      <c r="K15" s="61" t="s">
        <v>674</v>
      </c>
      <c r="L15" s="64" t="s">
        <v>684</v>
      </c>
      <c r="M15" s="64" t="s">
        <v>40</v>
      </c>
      <c r="N15" s="64" t="s">
        <v>40</v>
      </c>
      <c r="O15" s="64" t="s">
        <v>676</v>
      </c>
      <c r="P15" s="63"/>
      <c r="Q15" s="55"/>
      <c r="R15" s="55"/>
      <c r="S15" s="66"/>
      <c r="T15" s="66"/>
      <c r="U15" s="66"/>
      <c r="V15" s="66"/>
      <c r="W15" s="66"/>
      <c r="X15" s="66"/>
      <c r="Y15" s="66"/>
    </row>
    <row r="16">
      <c r="A16" s="54" t="s">
        <v>28</v>
      </c>
      <c r="B16" s="56" t="s">
        <v>29</v>
      </c>
      <c r="C16" s="54"/>
      <c r="D16" s="57" t="s">
        <v>30</v>
      </c>
      <c r="E16" s="54" t="s">
        <v>27</v>
      </c>
      <c r="F16" s="56"/>
      <c r="G16" s="59" t="s">
        <v>132</v>
      </c>
      <c r="H16" s="60" t="s">
        <v>61</v>
      </c>
      <c r="I16" s="67" t="s">
        <v>692</v>
      </c>
      <c r="J16" s="57">
        <v>24.0</v>
      </c>
      <c r="K16" s="61" t="s">
        <v>674</v>
      </c>
      <c r="L16" s="57" t="s">
        <v>684</v>
      </c>
      <c r="M16" s="57" t="s">
        <v>40</v>
      </c>
      <c r="N16" s="57" t="s">
        <v>41</v>
      </c>
      <c r="O16" s="68" t="s">
        <v>676</v>
      </c>
      <c r="P16" s="69" t="s">
        <v>693</v>
      </c>
      <c r="Q16" s="54"/>
      <c r="R16" s="54"/>
      <c r="S16" s="62"/>
      <c r="T16" s="62"/>
      <c r="U16" s="62"/>
      <c r="V16" s="62"/>
      <c r="W16" s="62"/>
      <c r="X16" s="62"/>
      <c r="Y16" s="62"/>
    </row>
    <row r="17">
      <c r="A17" s="55" t="s">
        <v>461</v>
      </c>
      <c r="B17" s="63" t="s">
        <v>462</v>
      </c>
      <c r="C17" s="55"/>
      <c r="D17" s="64">
        <v>7.206010176E9</v>
      </c>
      <c r="E17" s="55" t="s">
        <v>460</v>
      </c>
      <c r="F17" s="63"/>
      <c r="G17" s="59" t="s">
        <v>132</v>
      </c>
      <c r="H17" s="60" t="s">
        <v>61</v>
      </c>
      <c r="I17" s="65" t="s">
        <v>694</v>
      </c>
      <c r="J17" s="64">
        <v>20.0</v>
      </c>
      <c r="K17" s="61" t="s">
        <v>674</v>
      </c>
      <c r="L17" s="64" t="s">
        <v>691</v>
      </c>
      <c r="M17" s="64" t="s">
        <v>159</v>
      </c>
      <c r="N17" s="64" t="s">
        <v>409</v>
      </c>
      <c r="O17" s="64" t="s">
        <v>676</v>
      </c>
      <c r="P17" s="63"/>
      <c r="Q17" s="55"/>
      <c r="R17" s="55"/>
      <c r="S17" s="66"/>
      <c r="T17" s="66"/>
      <c r="U17" s="66"/>
      <c r="V17" s="66"/>
      <c r="W17" s="66"/>
      <c r="X17" s="66"/>
      <c r="Y17" s="66"/>
    </row>
    <row r="18">
      <c r="A18" s="54" t="s">
        <v>327</v>
      </c>
      <c r="B18" s="56" t="s">
        <v>328</v>
      </c>
      <c r="C18" s="54"/>
      <c r="D18" s="57">
        <v>7.20470504E9</v>
      </c>
      <c r="E18" s="54" t="s">
        <v>326</v>
      </c>
      <c r="F18" s="56"/>
      <c r="G18" s="59" t="s">
        <v>132</v>
      </c>
      <c r="H18" s="60" t="s">
        <v>61</v>
      </c>
      <c r="I18" s="67" t="s">
        <v>333</v>
      </c>
      <c r="J18" s="57">
        <v>25.0</v>
      </c>
      <c r="K18" s="61" t="s">
        <v>674</v>
      </c>
      <c r="L18" s="57" t="s">
        <v>686</v>
      </c>
      <c r="M18" s="57" t="s">
        <v>40</v>
      </c>
      <c r="N18" s="57" t="s">
        <v>96</v>
      </c>
      <c r="O18" s="57" t="s">
        <v>676</v>
      </c>
      <c r="P18" s="56"/>
      <c r="Q18" s="54"/>
      <c r="R18" s="54"/>
      <c r="S18" s="62"/>
      <c r="T18" s="62"/>
      <c r="U18" s="62"/>
      <c r="V18" s="62"/>
      <c r="W18" s="62"/>
      <c r="X18" s="62"/>
      <c r="Y18" s="62"/>
    </row>
    <row r="19">
      <c r="A19" s="55" t="s">
        <v>336</v>
      </c>
      <c r="B19" s="63" t="s">
        <v>337</v>
      </c>
      <c r="C19" s="55"/>
      <c r="D19" s="64">
        <v>3.03856469E9</v>
      </c>
      <c r="E19" s="55" t="s">
        <v>335</v>
      </c>
      <c r="F19" s="58"/>
      <c r="G19" s="59" t="s">
        <v>132</v>
      </c>
      <c r="H19" s="60" t="s">
        <v>61</v>
      </c>
      <c r="I19" s="31"/>
      <c r="J19" s="31"/>
      <c r="K19" s="61" t="s">
        <v>674</v>
      </c>
      <c r="L19" s="64" t="s">
        <v>691</v>
      </c>
      <c r="M19" s="64" t="s">
        <v>96</v>
      </c>
      <c r="N19" s="64" t="s">
        <v>106</v>
      </c>
      <c r="O19" s="64" t="s">
        <v>689</v>
      </c>
      <c r="P19" s="63"/>
      <c r="Q19" s="55"/>
      <c r="R19" s="55"/>
      <c r="S19" s="66"/>
      <c r="T19" s="66"/>
      <c r="U19" s="66"/>
      <c r="V19" s="66"/>
      <c r="W19" s="66"/>
      <c r="X19" s="66"/>
      <c r="Y19" s="66"/>
    </row>
    <row r="20">
      <c r="A20" s="54" t="s">
        <v>414</v>
      </c>
      <c r="B20" s="56" t="s">
        <v>415</v>
      </c>
      <c r="C20" s="54"/>
      <c r="D20" s="57">
        <v>7.203342724E9</v>
      </c>
      <c r="E20" s="54" t="s">
        <v>413</v>
      </c>
      <c r="F20" s="58"/>
      <c r="G20" s="59" t="s">
        <v>132</v>
      </c>
      <c r="H20" s="60" t="s">
        <v>61</v>
      </c>
      <c r="I20" s="31"/>
      <c r="J20" s="31"/>
      <c r="K20" s="61" t="s">
        <v>674</v>
      </c>
      <c r="L20" s="57" t="s">
        <v>691</v>
      </c>
      <c r="M20" s="57" t="s">
        <v>106</v>
      </c>
      <c r="N20" s="57" t="s">
        <v>96</v>
      </c>
      <c r="O20" s="57" t="s">
        <v>689</v>
      </c>
      <c r="P20" s="56"/>
      <c r="Q20" s="54"/>
      <c r="R20" s="54"/>
      <c r="S20" s="62"/>
      <c r="T20" s="62"/>
      <c r="U20" s="62"/>
      <c r="V20" s="62"/>
      <c r="W20" s="62"/>
      <c r="X20" s="62"/>
      <c r="Y20" s="62"/>
    </row>
    <row r="21">
      <c r="A21" s="55" t="s">
        <v>46</v>
      </c>
      <c r="B21" s="63" t="s">
        <v>47</v>
      </c>
      <c r="C21" s="55"/>
      <c r="D21" s="64" t="s">
        <v>48</v>
      </c>
      <c r="E21" s="55" t="s">
        <v>45</v>
      </c>
      <c r="F21" s="58"/>
      <c r="G21" s="59" t="s">
        <v>132</v>
      </c>
      <c r="H21" s="60" t="s">
        <v>61</v>
      </c>
      <c r="I21" s="31"/>
      <c r="J21" s="31"/>
      <c r="K21" s="61" t="s">
        <v>674</v>
      </c>
      <c r="L21" s="64" t="s">
        <v>691</v>
      </c>
      <c r="M21" s="64" t="s">
        <v>40</v>
      </c>
      <c r="N21" s="64" t="s">
        <v>41</v>
      </c>
      <c r="O21" s="64" t="s">
        <v>689</v>
      </c>
      <c r="P21" s="63"/>
      <c r="Q21" s="55"/>
      <c r="R21" s="55"/>
      <c r="S21" s="66"/>
      <c r="T21" s="66"/>
      <c r="U21" s="66"/>
      <c r="V21" s="66"/>
      <c r="W21" s="66"/>
      <c r="X21" s="66"/>
      <c r="Y21" s="66"/>
    </row>
    <row r="22">
      <c r="A22" s="54" t="s">
        <v>346</v>
      </c>
      <c r="B22" s="56" t="s">
        <v>347</v>
      </c>
      <c r="C22" s="54"/>
      <c r="D22" s="57" t="s">
        <v>348</v>
      </c>
      <c r="E22" s="54" t="s">
        <v>345</v>
      </c>
      <c r="F22" s="58"/>
      <c r="G22" s="59" t="s">
        <v>132</v>
      </c>
      <c r="H22" s="60" t="s">
        <v>61</v>
      </c>
      <c r="I22" s="31"/>
      <c r="J22" s="31"/>
      <c r="K22" s="61" t="s">
        <v>674</v>
      </c>
      <c r="L22" s="57" t="s">
        <v>691</v>
      </c>
      <c r="M22" s="57" t="s">
        <v>159</v>
      </c>
      <c r="N22" s="57" t="s">
        <v>159</v>
      </c>
      <c r="O22" s="57" t="s">
        <v>689</v>
      </c>
      <c r="P22" s="56"/>
      <c r="Q22" s="54"/>
      <c r="R22" s="54"/>
      <c r="S22" s="62"/>
      <c r="T22" s="62"/>
      <c r="U22" s="62"/>
      <c r="V22" s="62"/>
      <c r="W22" s="62"/>
      <c r="X22" s="62"/>
      <c r="Y22" s="62"/>
    </row>
    <row r="23">
      <c r="A23" s="55" t="s">
        <v>423</v>
      </c>
      <c r="B23" s="63" t="s">
        <v>424</v>
      </c>
      <c r="C23" s="55"/>
      <c r="D23" s="64" t="s">
        <v>425</v>
      </c>
      <c r="E23" s="55" t="s">
        <v>422</v>
      </c>
      <c r="F23" s="58"/>
      <c r="G23" s="59" t="s">
        <v>132</v>
      </c>
      <c r="H23" s="60" t="s">
        <v>61</v>
      </c>
      <c r="I23" s="31"/>
      <c r="J23" s="31"/>
      <c r="K23" s="61" t="s">
        <v>674</v>
      </c>
      <c r="L23" s="64" t="s">
        <v>691</v>
      </c>
      <c r="M23" s="64" t="s">
        <v>96</v>
      </c>
      <c r="N23" s="64" t="s">
        <v>40</v>
      </c>
      <c r="O23" s="64" t="s">
        <v>689</v>
      </c>
      <c r="P23" s="63"/>
      <c r="Q23" s="55"/>
      <c r="R23" s="55"/>
      <c r="S23" s="66"/>
      <c r="T23" s="66"/>
      <c r="U23" s="66"/>
      <c r="V23" s="66"/>
      <c r="W23" s="66"/>
      <c r="X23" s="66"/>
      <c r="Y23" s="66"/>
    </row>
    <row r="24">
      <c r="A24" s="54" t="s">
        <v>355</v>
      </c>
      <c r="B24" s="56" t="s">
        <v>290</v>
      </c>
      <c r="C24" s="54"/>
      <c r="D24" s="57" t="s">
        <v>356</v>
      </c>
      <c r="E24" s="54" t="s">
        <v>354</v>
      </c>
      <c r="F24" s="58"/>
      <c r="G24" s="59" t="s">
        <v>132</v>
      </c>
      <c r="H24" s="60" t="s">
        <v>61</v>
      </c>
      <c r="I24" s="31"/>
      <c r="J24" s="31"/>
      <c r="K24" s="61" t="s">
        <v>674</v>
      </c>
      <c r="L24" s="57" t="s">
        <v>691</v>
      </c>
      <c r="M24" s="57" t="s">
        <v>40</v>
      </c>
      <c r="N24" s="57" t="s">
        <v>41</v>
      </c>
      <c r="O24" s="57" t="s">
        <v>689</v>
      </c>
      <c r="P24" s="56"/>
      <c r="Q24" s="54"/>
      <c r="R24" s="54"/>
      <c r="S24" s="62"/>
      <c r="T24" s="62"/>
      <c r="U24" s="62"/>
      <c r="V24" s="62"/>
      <c r="W24" s="62"/>
      <c r="X24" s="62"/>
      <c r="Y24" s="62"/>
    </row>
    <row r="25">
      <c r="A25" s="55" t="s">
        <v>364</v>
      </c>
      <c r="B25" s="63" t="s">
        <v>186</v>
      </c>
      <c r="C25" s="55"/>
      <c r="D25" s="64">
        <v>7.208055052E9</v>
      </c>
      <c r="E25" s="55" t="s">
        <v>363</v>
      </c>
      <c r="F25" s="63"/>
      <c r="G25" s="59" t="s">
        <v>132</v>
      </c>
      <c r="H25" s="60" t="s">
        <v>61</v>
      </c>
      <c r="I25" s="65" t="s">
        <v>369</v>
      </c>
      <c r="J25" s="64"/>
      <c r="K25" s="61" t="s">
        <v>674</v>
      </c>
      <c r="L25" s="64" t="s">
        <v>686</v>
      </c>
      <c r="M25" s="64" t="s">
        <v>40</v>
      </c>
      <c r="N25" s="64" t="s">
        <v>96</v>
      </c>
      <c r="O25" s="64" t="s">
        <v>689</v>
      </c>
      <c r="P25" s="63"/>
      <c r="Q25" s="55"/>
      <c r="R25" s="55"/>
      <c r="S25" s="66"/>
      <c r="T25" s="66"/>
      <c r="U25" s="66"/>
      <c r="V25" s="66"/>
      <c r="W25" s="66"/>
      <c r="X25" s="66"/>
      <c r="Y25" s="66"/>
    </row>
    <row r="26">
      <c r="A26" s="54" t="s">
        <v>71</v>
      </c>
      <c r="B26" s="56" t="s">
        <v>72</v>
      </c>
      <c r="C26" s="54"/>
      <c r="D26" s="57">
        <v>7.207515009E9</v>
      </c>
      <c r="E26" s="54" t="s">
        <v>70</v>
      </c>
      <c r="F26" s="56"/>
      <c r="G26" s="59" t="s">
        <v>132</v>
      </c>
      <c r="H26" s="60" t="s">
        <v>61</v>
      </c>
      <c r="I26" s="67" t="s">
        <v>78</v>
      </c>
      <c r="J26" s="57">
        <v>23.0</v>
      </c>
      <c r="K26" s="61" t="s">
        <v>674</v>
      </c>
      <c r="L26" s="57" t="s">
        <v>684</v>
      </c>
      <c r="M26" s="57" t="s">
        <v>41</v>
      </c>
      <c r="N26" s="57" t="s">
        <v>40</v>
      </c>
      <c r="O26" s="57" t="s">
        <v>695</v>
      </c>
      <c r="P26" s="56"/>
      <c r="Q26" s="54"/>
      <c r="R26" s="54"/>
      <c r="S26" s="62"/>
      <c r="T26" s="62"/>
      <c r="U26" s="62"/>
      <c r="V26" s="62"/>
      <c r="W26" s="62"/>
      <c r="X26" s="62"/>
      <c r="Y26" s="62"/>
    </row>
    <row r="27">
      <c r="A27" s="55" t="s">
        <v>470</v>
      </c>
      <c r="B27" s="63" t="s">
        <v>47</v>
      </c>
      <c r="C27" s="55"/>
      <c r="D27" s="64" t="s">
        <v>471</v>
      </c>
      <c r="E27" s="55" t="s">
        <v>469</v>
      </c>
      <c r="F27" s="63"/>
      <c r="G27" s="59" t="s">
        <v>132</v>
      </c>
      <c r="H27" s="60" t="s">
        <v>61</v>
      </c>
      <c r="I27" s="65" t="s">
        <v>475</v>
      </c>
      <c r="J27" s="64">
        <v>22.0</v>
      </c>
      <c r="K27" s="61" t="s">
        <v>674</v>
      </c>
      <c r="L27" s="64" t="s">
        <v>686</v>
      </c>
      <c r="M27" s="64" t="s">
        <v>40</v>
      </c>
      <c r="N27" s="64" t="s">
        <v>96</v>
      </c>
      <c r="O27" s="64" t="s">
        <v>695</v>
      </c>
      <c r="P27" s="70" t="s">
        <v>693</v>
      </c>
      <c r="Q27" s="55"/>
      <c r="R27" s="55"/>
      <c r="S27" s="66"/>
      <c r="T27" s="66"/>
      <c r="U27" s="66"/>
      <c r="V27" s="66"/>
      <c r="W27" s="66"/>
      <c r="X27" s="66"/>
      <c r="Y27" s="66"/>
    </row>
    <row r="28">
      <c r="A28" s="54" t="s">
        <v>81</v>
      </c>
      <c r="B28" s="56" t="s">
        <v>82</v>
      </c>
      <c r="C28" s="54"/>
      <c r="D28" s="57" t="s">
        <v>83</v>
      </c>
      <c r="E28" s="54" t="s">
        <v>80</v>
      </c>
      <c r="F28" s="56"/>
      <c r="G28" s="59" t="s">
        <v>132</v>
      </c>
      <c r="H28" s="60" t="s">
        <v>61</v>
      </c>
      <c r="I28" s="67" t="s">
        <v>696</v>
      </c>
      <c r="J28" s="57">
        <v>23.0</v>
      </c>
      <c r="K28" s="61" t="s">
        <v>674</v>
      </c>
      <c r="L28" s="57" t="s">
        <v>691</v>
      </c>
      <c r="M28" s="57" t="s">
        <v>40</v>
      </c>
      <c r="N28" s="57" t="s">
        <v>41</v>
      </c>
      <c r="O28" s="57" t="s">
        <v>676</v>
      </c>
      <c r="P28" s="56"/>
      <c r="Q28" s="54"/>
      <c r="R28" s="54"/>
      <c r="S28" s="62"/>
      <c r="T28" s="62"/>
      <c r="U28" s="62"/>
      <c r="V28" s="62"/>
      <c r="W28" s="62"/>
      <c r="X28" s="62"/>
      <c r="Y28" s="62"/>
    </row>
    <row r="29">
      <c r="A29" s="55" t="s">
        <v>91</v>
      </c>
      <c r="B29" s="63" t="s">
        <v>92</v>
      </c>
      <c r="C29" s="55"/>
      <c r="D29" s="64">
        <v>3.609661681E9</v>
      </c>
      <c r="E29" s="55" t="s">
        <v>90</v>
      </c>
      <c r="F29" s="63"/>
      <c r="G29" s="59" t="s">
        <v>132</v>
      </c>
      <c r="H29" s="60" t="s">
        <v>61</v>
      </c>
      <c r="I29" s="65" t="s">
        <v>697</v>
      </c>
      <c r="J29" s="64">
        <v>22.0</v>
      </c>
      <c r="K29" s="61" t="s">
        <v>674</v>
      </c>
      <c r="L29" s="64" t="s">
        <v>686</v>
      </c>
      <c r="M29" s="64" t="s">
        <v>40</v>
      </c>
      <c r="N29" s="64" t="s">
        <v>96</v>
      </c>
      <c r="O29" s="64" t="s">
        <v>676</v>
      </c>
      <c r="P29" s="63"/>
      <c r="Q29" s="55"/>
      <c r="R29" s="55"/>
      <c r="S29" s="66"/>
      <c r="T29" s="66"/>
      <c r="U29" s="66"/>
      <c r="V29" s="66"/>
      <c r="W29" s="66"/>
      <c r="X29" s="66"/>
      <c r="Y29" s="66"/>
    </row>
    <row r="30">
      <c r="A30" s="54" t="s">
        <v>487</v>
      </c>
      <c r="B30" s="56" t="s">
        <v>488</v>
      </c>
      <c r="C30" s="54"/>
      <c r="D30" s="57" t="s">
        <v>489</v>
      </c>
      <c r="E30" s="54" t="s">
        <v>486</v>
      </c>
      <c r="F30" s="56"/>
      <c r="G30" s="59" t="s">
        <v>132</v>
      </c>
      <c r="H30" s="60" t="s">
        <v>61</v>
      </c>
      <c r="I30" s="67" t="s">
        <v>698</v>
      </c>
      <c r="J30" s="57">
        <v>23.0</v>
      </c>
      <c r="K30" s="61" t="s">
        <v>674</v>
      </c>
      <c r="L30" s="57" t="s">
        <v>686</v>
      </c>
      <c r="M30" s="57" t="s">
        <v>40</v>
      </c>
      <c r="N30" s="57" t="s">
        <v>96</v>
      </c>
      <c r="O30" s="57" t="s">
        <v>676</v>
      </c>
      <c r="P30" s="56"/>
      <c r="Q30" s="54"/>
      <c r="R30" s="54"/>
      <c r="S30" s="62"/>
      <c r="T30" s="62"/>
      <c r="U30" s="62"/>
      <c r="V30" s="62"/>
      <c r="W30" s="62"/>
      <c r="X30" s="62"/>
      <c r="Y30" s="62"/>
    </row>
    <row r="31">
      <c r="A31" s="55" t="s">
        <v>478</v>
      </c>
      <c r="B31" s="63" t="s">
        <v>373</v>
      </c>
      <c r="C31" s="55"/>
      <c r="D31" s="64" t="s">
        <v>496</v>
      </c>
      <c r="E31" s="55" t="s">
        <v>495</v>
      </c>
      <c r="F31" s="63"/>
      <c r="G31" s="71"/>
      <c r="H31" s="60" t="s">
        <v>61</v>
      </c>
      <c r="I31" s="72" t="s">
        <v>699</v>
      </c>
      <c r="J31" s="55"/>
      <c r="K31" s="61" t="s">
        <v>674</v>
      </c>
      <c r="L31" s="55"/>
      <c r="M31" s="64" t="s">
        <v>40</v>
      </c>
      <c r="N31" s="64" t="s">
        <v>96</v>
      </c>
      <c r="O31" s="64" t="s">
        <v>676</v>
      </c>
      <c r="P31" s="70" t="s">
        <v>700</v>
      </c>
      <c r="Q31" s="55"/>
      <c r="R31" s="55"/>
      <c r="S31" s="66"/>
      <c r="T31" s="66"/>
      <c r="U31" s="66"/>
      <c r="V31" s="66"/>
      <c r="W31" s="66"/>
      <c r="X31" s="66"/>
      <c r="Y31" s="66"/>
    </row>
    <row r="32">
      <c r="A32" s="54" t="s">
        <v>505</v>
      </c>
      <c r="B32" s="56" t="s">
        <v>506</v>
      </c>
      <c r="C32" s="54"/>
      <c r="D32" s="57" t="s">
        <v>507</v>
      </c>
      <c r="E32" s="54" t="s">
        <v>504</v>
      </c>
      <c r="F32" s="56"/>
      <c r="G32" s="68"/>
      <c r="H32" s="60" t="s">
        <v>61</v>
      </c>
      <c r="I32" s="67" t="s">
        <v>512</v>
      </c>
      <c r="J32" s="57">
        <v>21.0</v>
      </c>
      <c r="K32" s="61" t="s">
        <v>674</v>
      </c>
      <c r="L32" s="57" t="s">
        <v>691</v>
      </c>
      <c r="M32" s="57" t="s">
        <v>40</v>
      </c>
      <c r="N32" s="57" t="s">
        <v>409</v>
      </c>
      <c r="O32" s="57" t="s">
        <v>676</v>
      </c>
      <c r="P32" s="69" t="s">
        <v>701</v>
      </c>
      <c r="Q32" s="54"/>
      <c r="R32" s="54"/>
      <c r="S32" s="62"/>
      <c r="T32" s="62"/>
      <c r="U32" s="62"/>
      <c r="V32" s="62"/>
      <c r="W32" s="62"/>
      <c r="X32" s="62"/>
      <c r="Y32" s="62"/>
    </row>
    <row r="33">
      <c r="A33" s="55" t="s">
        <v>101</v>
      </c>
      <c r="B33" s="63" t="s">
        <v>102</v>
      </c>
      <c r="C33" s="55"/>
      <c r="D33" s="64" t="s">
        <v>103</v>
      </c>
      <c r="E33" s="55" t="s">
        <v>100</v>
      </c>
      <c r="F33" s="63"/>
      <c r="G33" s="71"/>
      <c r="H33" s="58" t="s">
        <v>61</v>
      </c>
      <c r="I33" s="65" t="s">
        <v>107</v>
      </c>
      <c r="J33" s="64">
        <v>23.0</v>
      </c>
      <c r="K33" s="61" t="s">
        <v>674</v>
      </c>
      <c r="L33" s="64" t="s">
        <v>691</v>
      </c>
      <c r="M33" s="64" t="s">
        <v>96</v>
      </c>
      <c r="N33" s="64" t="s">
        <v>106</v>
      </c>
      <c r="O33" s="64" t="s">
        <v>689</v>
      </c>
      <c r="P33" s="63"/>
      <c r="Q33" s="55"/>
      <c r="R33" s="55"/>
      <c r="S33" s="66"/>
      <c r="T33" s="66"/>
      <c r="U33" s="66"/>
      <c r="V33" s="66"/>
      <c r="W33" s="66"/>
      <c r="X33" s="66"/>
      <c r="Y33" s="66"/>
    </row>
    <row r="34">
      <c r="A34" s="54" t="s">
        <v>110</v>
      </c>
      <c r="B34" s="56" t="s">
        <v>111</v>
      </c>
      <c r="C34" s="54"/>
      <c r="D34" s="57" t="s">
        <v>112</v>
      </c>
      <c r="E34" s="54" t="s">
        <v>109</v>
      </c>
      <c r="F34" s="56"/>
      <c r="G34" s="59" t="s">
        <v>132</v>
      </c>
      <c r="H34" s="60" t="s">
        <v>61</v>
      </c>
      <c r="I34" s="67" t="s">
        <v>118</v>
      </c>
      <c r="J34" s="57">
        <v>23.0</v>
      </c>
      <c r="K34" s="61" t="s">
        <v>674</v>
      </c>
      <c r="L34" s="57" t="s">
        <v>684</v>
      </c>
      <c r="M34" s="57" t="s">
        <v>40</v>
      </c>
      <c r="N34" s="57" t="s">
        <v>96</v>
      </c>
      <c r="O34" s="57" t="s">
        <v>676</v>
      </c>
      <c r="P34" s="69"/>
      <c r="Q34" s="54"/>
      <c r="R34" s="54"/>
      <c r="S34" s="62"/>
      <c r="T34" s="62"/>
      <c r="U34" s="62"/>
      <c r="V34" s="62"/>
      <c r="W34" s="62"/>
      <c r="X34" s="62"/>
      <c r="Y34" s="62"/>
    </row>
    <row r="35">
      <c r="A35" s="55" t="s">
        <v>121</v>
      </c>
      <c r="B35" s="63" t="s">
        <v>122</v>
      </c>
      <c r="C35" s="55"/>
      <c r="D35" s="64">
        <v>3.034950807E9</v>
      </c>
      <c r="E35" s="55" t="s">
        <v>120</v>
      </c>
      <c r="F35" s="63"/>
      <c r="G35" s="59" t="s">
        <v>132</v>
      </c>
      <c r="H35" s="60" t="s">
        <v>61</v>
      </c>
      <c r="I35" s="65" t="s">
        <v>127</v>
      </c>
      <c r="J35" s="64">
        <v>22.0</v>
      </c>
      <c r="K35" s="61" t="s">
        <v>674</v>
      </c>
      <c r="L35" s="64" t="s">
        <v>691</v>
      </c>
      <c r="M35" s="64" t="s">
        <v>40</v>
      </c>
      <c r="N35" s="64" t="s">
        <v>96</v>
      </c>
      <c r="O35" s="64" t="s">
        <v>689</v>
      </c>
      <c r="P35" s="63"/>
      <c r="Q35" s="55"/>
      <c r="R35" s="55"/>
      <c r="S35" s="66"/>
      <c r="T35" s="66"/>
      <c r="U35" s="66"/>
      <c r="V35" s="66"/>
      <c r="W35" s="66"/>
      <c r="X35" s="66"/>
      <c r="Y35" s="66"/>
    </row>
    <row r="36">
      <c r="A36" s="54" t="s">
        <v>130</v>
      </c>
      <c r="B36" s="56" t="s">
        <v>131</v>
      </c>
      <c r="C36" s="54"/>
      <c r="D36" s="57">
        <v>7.202919949E9</v>
      </c>
      <c r="E36" s="54" t="s">
        <v>129</v>
      </c>
      <c r="F36" s="56"/>
      <c r="G36" s="59" t="s">
        <v>132</v>
      </c>
      <c r="H36" s="56"/>
      <c r="I36" s="67" t="s">
        <v>702</v>
      </c>
      <c r="J36" s="57">
        <v>21.0</v>
      </c>
      <c r="K36" s="61" t="s">
        <v>674</v>
      </c>
      <c r="L36" s="57" t="s">
        <v>686</v>
      </c>
      <c r="M36" s="57" t="s">
        <v>41</v>
      </c>
      <c r="N36" s="57" t="s">
        <v>40</v>
      </c>
      <c r="O36" s="57" t="s">
        <v>676</v>
      </c>
      <c r="P36" s="56"/>
      <c r="Q36" s="54"/>
      <c r="R36" s="54"/>
      <c r="S36" s="62"/>
      <c r="T36" s="62"/>
      <c r="U36" s="62"/>
      <c r="V36" s="62"/>
      <c r="W36" s="62"/>
      <c r="X36" s="62"/>
      <c r="Y36" s="62"/>
    </row>
    <row r="37">
      <c r="A37" s="55" t="s">
        <v>523</v>
      </c>
      <c r="B37" s="63" t="s">
        <v>524</v>
      </c>
      <c r="C37" s="55"/>
      <c r="D37" s="64">
        <v>7.20960254E9</v>
      </c>
      <c r="E37" s="55" t="s">
        <v>522</v>
      </c>
      <c r="F37" s="63"/>
      <c r="G37" s="59" t="s">
        <v>132</v>
      </c>
      <c r="H37" s="60" t="s">
        <v>61</v>
      </c>
      <c r="I37" s="65" t="s">
        <v>530</v>
      </c>
      <c r="J37" s="64">
        <v>17.0</v>
      </c>
      <c r="K37" s="43" t="s">
        <v>674</v>
      </c>
      <c r="L37" s="64" t="s">
        <v>684</v>
      </c>
      <c r="M37" s="64" t="s">
        <v>96</v>
      </c>
      <c r="N37" s="64" t="s">
        <v>159</v>
      </c>
      <c r="O37" s="64" t="s">
        <v>676</v>
      </c>
      <c r="P37" s="70" t="s">
        <v>703</v>
      </c>
      <c r="Q37" s="55"/>
      <c r="R37" s="55"/>
      <c r="S37" s="66"/>
      <c r="T37" s="66"/>
      <c r="U37" s="66"/>
      <c r="V37" s="66"/>
      <c r="W37" s="66"/>
      <c r="X37" s="66"/>
      <c r="Y37" s="66"/>
    </row>
    <row r="38">
      <c r="A38" s="54" t="s">
        <v>533</v>
      </c>
      <c r="B38" s="56" t="s">
        <v>534</v>
      </c>
      <c r="C38" s="57" t="s">
        <v>704</v>
      </c>
      <c r="D38" s="57" t="s">
        <v>535</v>
      </c>
      <c r="E38" s="54" t="s">
        <v>532</v>
      </c>
      <c r="F38" s="56"/>
      <c r="G38" s="59" t="s">
        <v>132</v>
      </c>
      <c r="H38" s="60" t="s">
        <v>61</v>
      </c>
      <c r="I38" s="67" t="s">
        <v>541</v>
      </c>
      <c r="J38" s="57">
        <v>23.0</v>
      </c>
      <c r="K38" s="61" t="s">
        <v>674</v>
      </c>
      <c r="L38" s="57" t="s">
        <v>686</v>
      </c>
      <c r="M38" s="57" t="s">
        <v>41</v>
      </c>
      <c r="N38" s="57" t="s">
        <v>40</v>
      </c>
      <c r="O38" s="57" t="s">
        <v>676</v>
      </c>
      <c r="P38" s="56"/>
      <c r="Q38" s="54"/>
      <c r="R38" s="54"/>
      <c r="S38" s="62"/>
      <c r="T38" s="62"/>
      <c r="U38" s="62"/>
      <c r="V38" s="62"/>
      <c r="W38" s="62"/>
      <c r="X38" s="62"/>
      <c r="Y38" s="62"/>
    </row>
    <row r="39">
      <c r="A39" s="64" t="s">
        <v>554</v>
      </c>
      <c r="B39" s="63" t="s">
        <v>251</v>
      </c>
      <c r="C39" s="64" t="s">
        <v>705</v>
      </c>
      <c r="D39" s="64">
        <v>3.035918105E9</v>
      </c>
      <c r="E39" s="55" t="s">
        <v>553</v>
      </c>
      <c r="F39" s="63"/>
      <c r="G39" s="59" t="s">
        <v>132</v>
      </c>
      <c r="H39" s="60" t="s">
        <v>61</v>
      </c>
      <c r="I39" s="65" t="s">
        <v>559</v>
      </c>
      <c r="J39" s="64">
        <v>19.0</v>
      </c>
      <c r="K39" s="61" t="s">
        <v>674</v>
      </c>
      <c r="L39" s="64" t="s">
        <v>686</v>
      </c>
      <c r="M39" s="64" t="s">
        <v>106</v>
      </c>
      <c r="N39" s="64" t="s">
        <v>96</v>
      </c>
      <c r="O39" s="64" t="s">
        <v>676</v>
      </c>
      <c r="P39" s="70" t="s">
        <v>706</v>
      </c>
      <c r="Q39" s="55"/>
      <c r="R39" s="55"/>
      <c r="S39" s="66"/>
      <c r="T39" s="66"/>
      <c r="U39" s="66"/>
      <c r="V39" s="66"/>
      <c r="W39" s="66"/>
      <c r="X39" s="66"/>
      <c r="Y39" s="66"/>
    </row>
    <row r="40">
      <c r="A40" s="54" t="s">
        <v>478</v>
      </c>
      <c r="B40" s="56" t="s">
        <v>524</v>
      </c>
      <c r="C40" s="54"/>
      <c r="D40" s="57" t="s">
        <v>562</v>
      </c>
      <c r="E40" s="54" t="s">
        <v>561</v>
      </c>
      <c r="F40" s="56"/>
      <c r="G40" s="59" t="s">
        <v>132</v>
      </c>
      <c r="H40" s="60" t="s">
        <v>61</v>
      </c>
      <c r="I40" s="67" t="s">
        <v>707</v>
      </c>
      <c r="J40" s="57">
        <v>17.0</v>
      </c>
      <c r="K40" s="43" t="s">
        <v>674</v>
      </c>
      <c r="L40" s="57" t="s">
        <v>708</v>
      </c>
      <c r="M40" s="57" t="s">
        <v>96</v>
      </c>
      <c r="N40" s="57" t="s">
        <v>159</v>
      </c>
      <c r="O40" s="57" t="s">
        <v>676</v>
      </c>
      <c r="P40" s="69" t="s">
        <v>706</v>
      </c>
      <c r="Q40" s="54"/>
      <c r="R40" s="54"/>
      <c r="S40" s="62"/>
      <c r="T40" s="62"/>
      <c r="U40" s="62"/>
      <c r="V40" s="62"/>
      <c r="W40" s="62"/>
      <c r="X40" s="62"/>
      <c r="Y40" s="62"/>
    </row>
    <row r="41">
      <c r="A41" s="55" t="s">
        <v>141</v>
      </c>
      <c r="B41" s="63" t="s">
        <v>142</v>
      </c>
      <c r="C41" s="55"/>
      <c r="D41" s="64" t="s">
        <v>143</v>
      </c>
      <c r="E41" s="55" t="s">
        <v>140</v>
      </c>
      <c r="F41" s="63"/>
      <c r="G41" s="59" t="s">
        <v>132</v>
      </c>
      <c r="H41" s="63"/>
      <c r="I41" s="65" t="s">
        <v>149</v>
      </c>
      <c r="J41" s="64">
        <v>19.0</v>
      </c>
      <c r="K41" s="61" t="s">
        <v>674</v>
      </c>
      <c r="L41" s="64" t="s">
        <v>684</v>
      </c>
      <c r="M41" s="64" t="s">
        <v>40</v>
      </c>
      <c r="N41" s="64" t="s">
        <v>41</v>
      </c>
      <c r="O41" s="64" t="s">
        <v>676</v>
      </c>
      <c r="P41" s="63"/>
      <c r="Q41" s="55"/>
      <c r="R41" s="55"/>
      <c r="S41" s="66"/>
      <c r="T41" s="66"/>
      <c r="U41" s="66"/>
      <c r="V41" s="66"/>
      <c r="W41" s="66"/>
      <c r="X41" s="66"/>
      <c r="Y41" s="66"/>
    </row>
    <row r="42">
      <c r="A42" s="54" t="s">
        <v>152</v>
      </c>
      <c r="B42" s="56" t="s">
        <v>153</v>
      </c>
      <c r="C42" s="54"/>
      <c r="D42" s="57" t="s">
        <v>154</v>
      </c>
      <c r="E42" s="54" t="s">
        <v>151</v>
      </c>
      <c r="F42" s="56"/>
      <c r="G42" s="59" t="s">
        <v>132</v>
      </c>
      <c r="H42" s="60" t="s">
        <v>61</v>
      </c>
      <c r="I42" s="73" t="s">
        <v>709</v>
      </c>
      <c r="J42" s="57">
        <v>23.0</v>
      </c>
      <c r="K42" s="61" t="s">
        <v>674</v>
      </c>
      <c r="L42" s="57" t="s">
        <v>686</v>
      </c>
      <c r="M42" s="57" t="s">
        <v>159</v>
      </c>
      <c r="N42" s="57" t="s">
        <v>106</v>
      </c>
      <c r="O42" s="57" t="s">
        <v>676</v>
      </c>
      <c r="P42" s="56"/>
      <c r="Q42" s="54"/>
      <c r="R42" s="54"/>
    </row>
    <row r="43">
      <c r="A43" s="64" t="s">
        <v>710</v>
      </c>
      <c r="B43" s="70" t="s">
        <v>634</v>
      </c>
      <c r="C43" s="55"/>
      <c r="D43" s="64" t="s">
        <v>584</v>
      </c>
      <c r="E43" s="64" t="s">
        <v>711</v>
      </c>
      <c r="F43" s="63"/>
      <c r="G43" s="71"/>
      <c r="H43" s="60" t="s">
        <v>61</v>
      </c>
      <c r="I43" s="74" t="s">
        <v>712</v>
      </c>
      <c r="J43" s="64">
        <v>20.0</v>
      </c>
      <c r="K43" s="43" t="s">
        <v>674</v>
      </c>
      <c r="L43" s="64" t="s">
        <v>686</v>
      </c>
      <c r="M43" s="64" t="s">
        <v>96</v>
      </c>
      <c r="N43" s="64" t="s">
        <v>409</v>
      </c>
      <c r="O43" s="64" t="s">
        <v>676</v>
      </c>
      <c r="P43" s="70" t="s">
        <v>713</v>
      </c>
      <c r="Q43" s="55"/>
      <c r="R43" s="55"/>
      <c r="S43" s="66"/>
      <c r="T43" s="66"/>
      <c r="U43" s="66"/>
      <c r="V43" s="66"/>
      <c r="W43" s="66"/>
      <c r="X43" s="66"/>
      <c r="Y43" s="66"/>
    </row>
    <row r="44">
      <c r="A44" s="54" t="s">
        <v>164</v>
      </c>
      <c r="B44" s="56" t="s">
        <v>165</v>
      </c>
      <c r="C44" s="54"/>
      <c r="D44" s="57" t="s">
        <v>166</v>
      </c>
      <c r="E44" s="54" t="s">
        <v>163</v>
      </c>
      <c r="F44" s="56"/>
      <c r="G44" s="59" t="s">
        <v>132</v>
      </c>
      <c r="H44" s="60" t="s">
        <v>61</v>
      </c>
      <c r="I44" s="67" t="s">
        <v>171</v>
      </c>
      <c r="J44" s="57">
        <v>25.0</v>
      </c>
      <c r="K44" s="61" t="s">
        <v>674</v>
      </c>
      <c r="L44" s="57" t="s">
        <v>686</v>
      </c>
      <c r="M44" s="57" t="s">
        <v>40</v>
      </c>
      <c r="N44" s="57" t="s">
        <v>41</v>
      </c>
      <c r="O44" s="57" t="s">
        <v>689</v>
      </c>
      <c r="P44" s="56"/>
      <c r="Q44" s="54"/>
      <c r="R44" s="54"/>
      <c r="S44" s="62"/>
      <c r="T44" s="62"/>
      <c r="U44" s="62"/>
      <c r="V44" s="62"/>
      <c r="W44" s="62"/>
      <c r="X44" s="62"/>
      <c r="Y44" s="62"/>
    </row>
    <row r="45">
      <c r="A45" s="55" t="s">
        <v>174</v>
      </c>
      <c r="B45" s="63" t="s">
        <v>175</v>
      </c>
      <c r="C45" s="55"/>
      <c r="D45" s="64" t="s">
        <v>176</v>
      </c>
      <c r="E45" s="55" t="s">
        <v>173</v>
      </c>
      <c r="F45" s="63"/>
      <c r="G45" s="59" t="s">
        <v>132</v>
      </c>
      <c r="H45" s="60" t="s">
        <v>61</v>
      </c>
      <c r="I45" s="74" t="s">
        <v>714</v>
      </c>
      <c r="J45" s="64">
        <v>23.0</v>
      </c>
      <c r="K45" s="61" t="s">
        <v>674</v>
      </c>
      <c r="L45" s="64" t="s">
        <v>691</v>
      </c>
      <c r="M45" s="64" t="s">
        <v>96</v>
      </c>
      <c r="N45" s="64" t="s">
        <v>40</v>
      </c>
      <c r="O45" s="64" t="s">
        <v>676</v>
      </c>
      <c r="P45" s="63"/>
      <c r="Q45" s="55"/>
      <c r="R45" s="55"/>
      <c r="S45" s="66"/>
      <c r="T45" s="66"/>
      <c r="U45" s="66"/>
      <c r="V45" s="66"/>
      <c r="W45" s="66"/>
      <c r="X45" s="66"/>
      <c r="Y45" s="66"/>
    </row>
    <row r="46">
      <c r="A46" s="54" t="s">
        <v>593</v>
      </c>
      <c r="B46" s="56" t="s">
        <v>594</v>
      </c>
      <c r="C46" s="57" t="s">
        <v>715</v>
      </c>
      <c r="D46" s="57" t="s">
        <v>595</v>
      </c>
      <c r="E46" s="54" t="s">
        <v>592</v>
      </c>
      <c r="F46" s="56"/>
      <c r="G46" s="68"/>
      <c r="H46" s="60" t="s">
        <v>61</v>
      </c>
      <c r="I46" s="67" t="s">
        <v>599</v>
      </c>
      <c r="J46" s="57">
        <v>15.0</v>
      </c>
      <c r="K46" s="43" t="s">
        <v>674</v>
      </c>
      <c r="L46" s="57" t="s">
        <v>686</v>
      </c>
      <c r="M46" s="57" t="s">
        <v>96</v>
      </c>
      <c r="N46" s="57" t="s">
        <v>106</v>
      </c>
      <c r="O46" s="57" t="s">
        <v>676</v>
      </c>
      <c r="P46" s="69" t="s">
        <v>716</v>
      </c>
      <c r="Q46" s="54"/>
      <c r="R46" s="54"/>
      <c r="S46" s="62"/>
      <c r="T46" s="62"/>
      <c r="U46" s="62"/>
      <c r="V46" s="62"/>
      <c r="W46" s="62"/>
      <c r="X46" s="62"/>
      <c r="Y46" s="62"/>
    </row>
    <row r="47">
      <c r="A47" s="55" t="s">
        <v>602</v>
      </c>
      <c r="B47" s="63" t="s">
        <v>603</v>
      </c>
      <c r="C47" s="55"/>
      <c r="D47" s="64" t="s">
        <v>297</v>
      </c>
      <c r="E47" s="55" t="s">
        <v>601</v>
      </c>
      <c r="F47" s="63"/>
      <c r="G47" s="59" t="s">
        <v>132</v>
      </c>
      <c r="H47" s="60" t="s">
        <v>61</v>
      </c>
      <c r="I47" s="65" t="s">
        <v>605</v>
      </c>
      <c r="J47" s="64">
        <v>24.0</v>
      </c>
      <c r="K47" s="61" t="s">
        <v>674</v>
      </c>
      <c r="L47" s="64" t="s">
        <v>684</v>
      </c>
      <c r="M47" s="64" t="s">
        <v>41</v>
      </c>
      <c r="N47" s="64" t="s">
        <v>40</v>
      </c>
      <c r="O47" s="64" t="s">
        <v>676</v>
      </c>
      <c r="P47" s="63"/>
      <c r="Q47" s="55"/>
      <c r="R47" s="55"/>
      <c r="S47" s="66"/>
      <c r="T47" s="66"/>
      <c r="U47" s="66"/>
      <c r="V47" s="66"/>
      <c r="W47" s="66"/>
      <c r="X47" s="66"/>
      <c r="Y47" s="66"/>
    </row>
    <row r="48">
      <c r="A48" s="54" t="s">
        <v>185</v>
      </c>
      <c r="B48" s="56" t="s">
        <v>186</v>
      </c>
      <c r="C48" s="54"/>
      <c r="D48" s="57" t="s">
        <v>187</v>
      </c>
      <c r="E48" s="54" t="s">
        <v>184</v>
      </c>
      <c r="F48" s="56"/>
      <c r="H48" s="60" t="s">
        <v>61</v>
      </c>
      <c r="I48" s="67" t="s">
        <v>191</v>
      </c>
      <c r="J48" s="57">
        <v>24.0</v>
      </c>
      <c r="K48" s="61" t="s">
        <v>674</v>
      </c>
      <c r="L48" s="57" t="s">
        <v>686</v>
      </c>
      <c r="M48" s="57" t="s">
        <v>40</v>
      </c>
      <c r="N48" s="57" t="s">
        <v>41</v>
      </c>
      <c r="O48" s="57" t="s">
        <v>676</v>
      </c>
      <c r="P48" s="56"/>
      <c r="Q48" s="54"/>
      <c r="R48" s="54"/>
      <c r="S48" s="62"/>
      <c r="T48" s="62"/>
      <c r="U48" s="62"/>
      <c r="V48" s="62"/>
      <c r="W48" s="62"/>
      <c r="X48" s="62"/>
      <c r="Y48" s="62"/>
    </row>
    <row r="49">
      <c r="A49" s="55" t="s">
        <v>608</v>
      </c>
      <c r="B49" s="63" t="s">
        <v>609</v>
      </c>
      <c r="C49" s="55"/>
      <c r="D49" s="64" t="s">
        <v>610</v>
      </c>
      <c r="E49" s="55" t="s">
        <v>607</v>
      </c>
      <c r="F49" s="63"/>
      <c r="G49" s="59" t="s">
        <v>132</v>
      </c>
      <c r="H49" s="63"/>
      <c r="I49" s="65" t="s">
        <v>614</v>
      </c>
      <c r="J49" s="64">
        <v>16.0</v>
      </c>
      <c r="K49" s="43" t="s">
        <v>674</v>
      </c>
      <c r="L49" s="64" t="s">
        <v>686</v>
      </c>
      <c r="M49" s="64" t="s">
        <v>96</v>
      </c>
      <c r="N49" s="64" t="s">
        <v>106</v>
      </c>
      <c r="O49" s="64" t="s">
        <v>676</v>
      </c>
      <c r="P49" s="70" t="s">
        <v>717</v>
      </c>
      <c r="Q49" s="55"/>
      <c r="R49" s="55"/>
      <c r="S49" s="66"/>
      <c r="T49" s="66"/>
      <c r="U49" s="66"/>
      <c r="V49" s="66"/>
      <c r="W49" s="66"/>
      <c r="X49" s="66"/>
      <c r="Y49" s="66"/>
    </row>
    <row r="50">
      <c r="A50" s="54" t="s">
        <v>194</v>
      </c>
      <c r="B50" s="56" t="s">
        <v>195</v>
      </c>
      <c r="C50" s="54"/>
      <c r="D50" s="57" t="s">
        <v>196</v>
      </c>
      <c r="E50" s="54" t="s">
        <v>193</v>
      </c>
      <c r="F50" s="56"/>
      <c r="G50" s="59" t="s">
        <v>132</v>
      </c>
      <c r="H50" s="56"/>
      <c r="I50" s="67" t="s">
        <v>718</v>
      </c>
      <c r="J50" s="57">
        <v>25.0</v>
      </c>
      <c r="K50" s="61" t="s">
        <v>674</v>
      </c>
      <c r="L50" s="57" t="s">
        <v>686</v>
      </c>
      <c r="M50" s="57" t="s">
        <v>40</v>
      </c>
      <c r="N50" s="57" t="s">
        <v>41</v>
      </c>
      <c r="O50" s="57" t="s">
        <v>676</v>
      </c>
      <c r="P50" s="56"/>
      <c r="Q50" s="54"/>
      <c r="R50" s="54"/>
      <c r="S50" s="62"/>
      <c r="T50" s="62"/>
      <c r="U50" s="62"/>
      <c r="V50" s="62"/>
      <c r="W50" s="62"/>
      <c r="X50" s="62"/>
      <c r="Y50" s="62"/>
    </row>
    <row r="51">
      <c r="A51" s="55" t="s">
        <v>204</v>
      </c>
      <c r="B51" s="63" t="s">
        <v>205</v>
      </c>
      <c r="C51" s="55"/>
      <c r="D51" s="64">
        <v>9.707869861E9</v>
      </c>
      <c r="E51" s="55" t="s">
        <v>203</v>
      </c>
      <c r="F51" s="63"/>
      <c r="G51" s="59" t="s">
        <v>132</v>
      </c>
      <c r="H51" s="63"/>
      <c r="I51" s="65" t="s">
        <v>719</v>
      </c>
      <c r="J51" s="64">
        <v>24.0</v>
      </c>
      <c r="K51" s="61" t="s">
        <v>674</v>
      </c>
      <c r="L51" s="64" t="s">
        <v>684</v>
      </c>
      <c r="M51" s="64" t="s">
        <v>40</v>
      </c>
      <c r="N51" s="64" t="s">
        <v>106</v>
      </c>
      <c r="O51" s="64" t="s">
        <v>676</v>
      </c>
      <c r="P51" s="70" t="s">
        <v>720</v>
      </c>
      <c r="Q51" s="55"/>
      <c r="R51" s="55"/>
      <c r="S51" s="66"/>
      <c r="T51" s="66"/>
      <c r="U51" s="66"/>
      <c r="V51" s="66"/>
      <c r="W51" s="66"/>
      <c r="X51" s="66"/>
      <c r="Y51" s="66"/>
    </row>
    <row r="52">
      <c r="A52" s="54" t="s">
        <v>212</v>
      </c>
      <c r="B52" s="56" t="s">
        <v>213</v>
      </c>
      <c r="C52" s="54"/>
      <c r="D52" s="57" t="s">
        <v>214</v>
      </c>
      <c r="E52" s="54" t="s">
        <v>211</v>
      </c>
      <c r="F52" s="56"/>
      <c r="G52" s="68"/>
      <c r="H52" s="58" t="s">
        <v>61</v>
      </c>
      <c r="I52" s="67" t="s">
        <v>219</v>
      </c>
      <c r="J52" s="57">
        <v>23.0</v>
      </c>
      <c r="K52" s="61" t="s">
        <v>674</v>
      </c>
      <c r="L52" s="57" t="s">
        <v>686</v>
      </c>
      <c r="M52" s="57" t="s">
        <v>96</v>
      </c>
      <c r="N52" s="57" t="s">
        <v>106</v>
      </c>
      <c r="O52" s="57" t="s">
        <v>676</v>
      </c>
      <c r="P52" s="56"/>
      <c r="Q52" s="54"/>
      <c r="R52" s="54"/>
      <c r="S52" s="62"/>
      <c r="T52" s="62"/>
      <c r="U52" s="62"/>
      <c r="V52" s="62"/>
      <c r="W52" s="62"/>
      <c r="X52" s="62"/>
      <c r="Y52" s="62"/>
    </row>
    <row r="53">
      <c r="A53" s="55" t="s">
        <v>617</v>
      </c>
      <c r="B53" s="63" t="s">
        <v>618</v>
      </c>
      <c r="C53" s="55"/>
      <c r="D53" s="64" t="s">
        <v>619</v>
      </c>
      <c r="E53" s="55" t="s">
        <v>616</v>
      </c>
      <c r="F53" s="63"/>
      <c r="G53" s="71"/>
      <c r="H53" s="58" t="s">
        <v>61</v>
      </c>
      <c r="I53" s="65" t="s">
        <v>625</v>
      </c>
      <c r="J53" s="64">
        <v>25.0</v>
      </c>
      <c r="K53" s="61" t="s">
        <v>674</v>
      </c>
      <c r="L53" s="64" t="s">
        <v>686</v>
      </c>
      <c r="M53" s="64" t="s">
        <v>96</v>
      </c>
      <c r="N53" s="64" t="s">
        <v>106</v>
      </c>
      <c r="O53" s="64" t="s">
        <v>676</v>
      </c>
      <c r="P53" s="70" t="s">
        <v>721</v>
      </c>
      <c r="Q53" s="55"/>
      <c r="R53" s="55"/>
      <c r="S53" s="66"/>
      <c r="T53" s="66"/>
      <c r="U53" s="66"/>
      <c r="V53" s="66"/>
      <c r="W53" s="66"/>
      <c r="X53" s="66"/>
      <c r="Y53" s="66"/>
    </row>
    <row r="54">
      <c r="A54" s="54" t="s">
        <v>222</v>
      </c>
      <c r="B54" s="56" t="s">
        <v>223</v>
      </c>
      <c r="C54" s="54"/>
      <c r="D54" s="57" t="s">
        <v>224</v>
      </c>
      <c r="E54" s="54" t="s">
        <v>221</v>
      </c>
      <c r="F54" s="56"/>
      <c r="G54" s="59" t="s">
        <v>132</v>
      </c>
      <c r="H54" s="60" t="s">
        <v>61</v>
      </c>
      <c r="I54" s="67" t="s">
        <v>228</v>
      </c>
      <c r="J54" s="57">
        <v>17.0</v>
      </c>
      <c r="K54" s="43" t="s">
        <v>674</v>
      </c>
      <c r="L54" s="57" t="s">
        <v>684</v>
      </c>
      <c r="M54" s="57" t="s">
        <v>41</v>
      </c>
      <c r="N54" s="57" t="s">
        <v>40</v>
      </c>
      <c r="O54" s="57" t="s">
        <v>676</v>
      </c>
      <c r="P54" s="69" t="s">
        <v>722</v>
      </c>
      <c r="Q54" s="54"/>
      <c r="R54" s="54"/>
      <c r="S54" s="62"/>
      <c r="T54" s="62"/>
      <c r="U54" s="62"/>
      <c r="V54" s="62"/>
      <c r="W54" s="62"/>
      <c r="X54" s="62"/>
      <c r="Y54" s="62"/>
    </row>
    <row r="55">
      <c r="A55" s="64" t="s">
        <v>630</v>
      </c>
      <c r="B55" s="70" t="s">
        <v>723</v>
      </c>
      <c r="C55" s="55"/>
      <c r="D55" s="64" t="s">
        <v>384</v>
      </c>
      <c r="E55" s="55" t="s">
        <v>381</v>
      </c>
      <c r="F55" s="63"/>
      <c r="G55" s="71"/>
      <c r="H55" s="60" t="s">
        <v>61</v>
      </c>
      <c r="I55" s="65" t="s">
        <v>724</v>
      </c>
      <c r="J55" s="64">
        <v>21.0</v>
      </c>
      <c r="K55" s="61" t="s">
        <v>674</v>
      </c>
      <c r="L55" s="64" t="s">
        <v>725</v>
      </c>
      <c r="M55" s="64" t="s">
        <v>96</v>
      </c>
      <c r="N55" s="64" t="s">
        <v>106</v>
      </c>
      <c r="O55" s="64" t="s">
        <v>726</v>
      </c>
      <c r="P55" s="63"/>
      <c r="Q55" s="55"/>
      <c r="R55" s="55"/>
      <c r="S55" s="66"/>
      <c r="T55" s="66"/>
      <c r="U55" s="66"/>
      <c r="V55" s="66"/>
      <c r="W55" s="66"/>
      <c r="X55" s="66"/>
      <c r="Y55" s="66"/>
    </row>
    <row r="56">
      <c r="A56" s="54" t="s">
        <v>231</v>
      </c>
      <c r="B56" s="56" t="s">
        <v>232</v>
      </c>
      <c r="C56" s="54"/>
      <c r="D56" s="57">
        <v>9.832163051E9</v>
      </c>
      <c r="E56" s="54" t="s">
        <v>230</v>
      </c>
      <c r="F56" s="56"/>
      <c r="G56" s="59" t="s">
        <v>132</v>
      </c>
      <c r="H56" s="60" t="s">
        <v>61</v>
      </c>
      <c r="I56" s="67" t="s">
        <v>727</v>
      </c>
      <c r="J56" s="57">
        <v>20.0</v>
      </c>
      <c r="K56" s="61" t="s">
        <v>674</v>
      </c>
      <c r="L56" s="57" t="s">
        <v>684</v>
      </c>
      <c r="M56" s="57" t="s">
        <v>41</v>
      </c>
      <c r="N56" s="57" t="s">
        <v>40</v>
      </c>
      <c r="O56" s="57" t="s">
        <v>676</v>
      </c>
      <c r="P56" s="69" t="s">
        <v>728</v>
      </c>
      <c r="Q56" s="54"/>
      <c r="R56" s="54"/>
      <c r="S56" s="62"/>
      <c r="T56" s="62"/>
      <c r="U56" s="62"/>
      <c r="V56" s="62"/>
      <c r="W56" s="62"/>
      <c r="X56" s="62"/>
      <c r="Y56" s="62"/>
    </row>
    <row r="57">
      <c r="A57" s="55" t="s">
        <v>239</v>
      </c>
      <c r="B57" s="63" t="s">
        <v>240</v>
      </c>
      <c r="C57" s="55"/>
      <c r="D57" s="64" t="s">
        <v>241</v>
      </c>
      <c r="E57" s="55" t="s">
        <v>238</v>
      </c>
      <c r="F57" s="75"/>
      <c r="G57" s="59" t="s">
        <v>132</v>
      </c>
      <c r="H57" s="60" t="s">
        <v>61</v>
      </c>
      <c r="I57" s="65" t="s">
        <v>729</v>
      </c>
      <c r="J57" s="64">
        <v>23.0</v>
      </c>
      <c r="K57" s="61" t="s">
        <v>674</v>
      </c>
      <c r="L57" s="64" t="s">
        <v>691</v>
      </c>
      <c r="M57" s="64" t="s">
        <v>106</v>
      </c>
      <c r="N57" s="64" t="s">
        <v>159</v>
      </c>
      <c r="O57" s="71" t="s">
        <v>689</v>
      </c>
      <c r="P57" s="63"/>
      <c r="Q57" s="55"/>
      <c r="R57" s="55"/>
      <c r="S57" s="66"/>
      <c r="T57" s="66"/>
      <c r="U57" s="66"/>
      <c r="V57" s="66"/>
      <c r="W57" s="66"/>
      <c r="X57" s="66"/>
      <c r="Y57" s="66"/>
    </row>
    <row r="58">
      <c r="A58" s="54" t="s">
        <v>250</v>
      </c>
      <c r="B58" s="56" t="s">
        <v>251</v>
      </c>
      <c r="C58" s="54"/>
      <c r="D58" s="57" t="s">
        <v>252</v>
      </c>
      <c r="E58" s="54" t="s">
        <v>249</v>
      </c>
      <c r="F58" s="56"/>
      <c r="G58" s="59" t="s">
        <v>132</v>
      </c>
      <c r="H58" s="56"/>
      <c r="I58" s="67" t="s">
        <v>256</v>
      </c>
      <c r="J58" s="57">
        <v>24.0</v>
      </c>
      <c r="K58" s="61" t="s">
        <v>674</v>
      </c>
      <c r="L58" s="57" t="s">
        <v>684</v>
      </c>
      <c r="M58" s="57" t="s">
        <v>40</v>
      </c>
      <c r="N58" s="57" t="s">
        <v>41</v>
      </c>
      <c r="O58" s="57" t="s">
        <v>676</v>
      </c>
      <c r="P58" s="56"/>
      <c r="Q58" s="54"/>
      <c r="R58" s="54"/>
      <c r="S58" s="62"/>
      <c r="T58" s="62"/>
      <c r="U58" s="62"/>
      <c r="V58" s="62"/>
      <c r="W58" s="62"/>
      <c r="X58" s="62"/>
      <c r="Y58" s="62"/>
    </row>
    <row r="59">
      <c r="A59" s="55" t="s">
        <v>259</v>
      </c>
      <c r="B59" s="63" t="s">
        <v>260</v>
      </c>
      <c r="C59" s="55"/>
      <c r="D59" s="64" t="s">
        <v>261</v>
      </c>
      <c r="E59" s="55" t="s">
        <v>258</v>
      </c>
      <c r="F59" s="63"/>
      <c r="G59" s="59" t="s">
        <v>132</v>
      </c>
      <c r="H59" s="60" t="s">
        <v>61</v>
      </c>
      <c r="I59" s="65" t="s">
        <v>730</v>
      </c>
      <c r="J59" s="64">
        <v>19.0</v>
      </c>
      <c r="K59" s="43" t="s">
        <v>674</v>
      </c>
      <c r="L59" s="64" t="s">
        <v>684</v>
      </c>
      <c r="M59" s="64" t="s">
        <v>41</v>
      </c>
      <c r="N59" s="64" t="s">
        <v>106</v>
      </c>
      <c r="O59" s="64" t="s">
        <v>676</v>
      </c>
      <c r="P59" s="70" t="s">
        <v>731</v>
      </c>
      <c r="Q59" s="55"/>
      <c r="R59" s="55"/>
      <c r="S59" s="66"/>
      <c r="T59" s="66"/>
      <c r="U59" s="66"/>
      <c r="V59" s="66"/>
      <c r="W59" s="66"/>
      <c r="X59" s="66"/>
      <c r="Y59" s="66"/>
    </row>
    <row r="60">
      <c r="A60" s="54" t="s">
        <v>393</v>
      </c>
      <c r="B60" s="56" t="s">
        <v>394</v>
      </c>
      <c r="C60" s="54"/>
      <c r="D60" s="57" t="s">
        <v>395</v>
      </c>
      <c r="E60" s="54" t="s">
        <v>392</v>
      </c>
      <c r="F60" s="56"/>
      <c r="G60" s="59" t="s">
        <v>132</v>
      </c>
      <c r="H60" s="60" t="s">
        <v>61</v>
      </c>
      <c r="I60" s="67" t="s">
        <v>732</v>
      </c>
      <c r="J60" s="57">
        <v>20.0</v>
      </c>
      <c r="K60" s="61" t="s">
        <v>674</v>
      </c>
      <c r="L60" s="57" t="s">
        <v>686</v>
      </c>
      <c r="M60" s="57" t="s">
        <v>96</v>
      </c>
      <c r="N60" s="57" t="s">
        <v>106</v>
      </c>
      <c r="O60" s="68" t="s">
        <v>689</v>
      </c>
      <c r="P60" s="56"/>
      <c r="Q60" s="54"/>
      <c r="R60" s="54"/>
      <c r="S60" s="62"/>
      <c r="T60" s="62"/>
      <c r="U60" s="62"/>
      <c r="V60" s="62"/>
      <c r="W60" s="62"/>
      <c r="X60" s="62"/>
      <c r="Y60" s="62"/>
    </row>
    <row r="61">
      <c r="A61" s="55" t="s">
        <v>269</v>
      </c>
      <c r="B61" s="63" t="s">
        <v>270</v>
      </c>
      <c r="C61" s="55"/>
      <c r="D61" s="64" t="s">
        <v>271</v>
      </c>
      <c r="E61" s="55" t="s">
        <v>268</v>
      </c>
      <c r="F61" s="63"/>
      <c r="G61" s="59" t="s">
        <v>132</v>
      </c>
      <c r="H61" s="63"/>
      <c r="I61" s="76" t="s">
        <v>733</v>
      </c>
      <c r="J61" s="64">
        <v>25.0</v>
      </c>
      <c r="K61" s="61" t="s">
        <v>674</v>
      </c>
      <c r="L61" s="71" t="s">
        <v>684</v>
      </c>
      <c r="M61" s="64" t="s">
        <v>41</v>
      </c>
      <c r="N61" s="64" t="s">
        <v>106</v>
      </c>
      <c r="O61" s="64" t="s">
        <v>676</v>
      </c>
      <c r="P61" s="63"/>
      <c r="Q61" s="55"/>
      <c r="R61" s="55"/>
      <c r="S61" s="66"/>
      <c r="T61" s="66"/>
      <c r="U61" s="66"/>
      <c r="V61" s="66"/>
      <c r="W61" s="66"/>
      <c r="X61" s="66"/>
      <c r="Y61" s="66"/>
    </row>
    <row r="62">
      <c r="A62" s="68" t="s">
        <v>279</v>
      </c>
      <c r="B62" s="77" t="s">
        <v>280</v>
      </c>
      <c r="C62" s="68"/>
      <c r="D62" s="68" t="s">
        <v>281</v>
      </c>
      <c r="E62" s="68" t="s">
        <v>278</v>
      </c>
      <c r="F62" s="78"/>
      <c r="G62" s="59" t="s">
        <v>132</v>
      </c>
      <c r="H62" s="60" t="s">
        <v>61</v>
      </c>
      <c r="I62" s="79" t="s">
        <v>286</v>
      </c>
      <c r="J62" s="68">
        <v>23.0</v>
      </c>
      <c r="K62" s="61" t="s">
        <v>674</v>
      </c>
      <c r="L62" s="68" t="s">
        <v>684</v>
      </c>
      <c r="M62" s="68" t="s">
        <v>41</v>
      </c>
      <c r="N62" s="68" t="s">
        <v>40</v>
      </c>
      <c r="O62" s="57" t="s">
        <v>676</v>
      </c>
      <c r="P62" s="77" t="s">
        <v>734</v>
      </c>
      <c r="Q62" s="62"/>
      <c r="R62" s="62"/>
      <c r="S62" s="62"/>
      <c r="T62" s="62"/>
      <c r="U62" s="62"/>
      <c r="V62" s="62"/>
      <c r="W62" s="62"/>
      <c r="X62" s="62"/>
      <c r="Y62" s="62"/>
    </row>
    <row r="63">
      <c r="A63" s="71" t="s">
        <v>289</v>
      </c>
      <c r="B63" s="80" t="s">
        <v>290</v>
      </c>
      <c r="C63" s="71" t="s">
        <v>735</v>
      </c>
      <c r="D63" s="71">
        <v>7.208006266E9</v>
      </c>
      <c r="E63" s="71" t="s">
        <v>288</v>
      </c>
      <c r="F63" s="75"/>
      <c r="G63" s="59" t="s">
        <v>132</v>
      </c>
      <c r="H63" s="75"/>
      <c r="I63" s="81" t="s">
        <v>736</v>
      </c>
      <c r="J63" s="71">
        <v>25.0</v>
      </c>
      <c r="K63" s="61" t="s">
        <v>674</v>
      </c>
      <c r="L63" s="71" t="s">
        <v>691</v>
      </c>
      <c r="M63" s="71" t="s">
        <v>106</v>
      </c>
      <c r="N63" s="71" t="s">
        <v>41</v>
      </c>
      <c r="O63" s="71" t="s">
        <v>689</v>
      </c>
      <c r="P63" s="75"/>
      <c r="Q63" s="66"/>
      <c r="R63" s="66"/>
      <c r="S63" s="66"/>
      <c r="T63" s="66"/>
      <c r="U63" s="66"/>
      <c r="V63" s="66"/>
      <c r="W63" s="66"/>
      <c r="X63" s="66"/>
      <c r="Y63" s="66"/>
    </row>
    <row r="64">
      <c r="A64" s="68" t="s">
        <v>433</v>
      </c>
      <c r="B64" s="68" t="s">
        <v>434</v>
      </c>
      <c r="C64" s="68"/>
      <c r="D64" s="68">
        <v>7.20651282E9</v>
      </c>
      <c r="E64" s="68" t="s">
        <v>432</v>
      </c>
      <c r="F64" s="78"/>
      <c r="G64" s="59" t="s">
        <v>132</v>
      </c>
      <c r="H64" s="78"/>
      <c r="I64" s="79" t="s">
        <v>439</v>
      </c>
      <c r="J64" s="68">
        <v>24.0</v>
      </c>
      <c r="K64" s="61" t="s">
        <v>674</v>
      </c>
      <c r="L64" s="68" t="s">
        <v>684</v>
      </c>
      <c r="M64" s="68" t="s">
        <v>41</v>
      </c>
      <c r="N64" s="68" t="s">
        <v>40</v>
      </c>
      <c r="O64" s="68" t="s">
        <v>689</v>
      </c>
      <c r="P64" s="78"/>
      <c r="Q64" s="62"/>
      <c r="R64" s="62"/>
      <c r="S64" s="62"/>
      <c r="T64" s="62"/>
      <c r="U64" s="62"/>
      <c r="V64" s="62"/>
      <c r="W64" s="62"/>
      <c r="X64" s="62"/>
      <c r="Y64" s="62"/>
    </row>
    <row r="65">
      <c r="A65" s="71" t="s">
        <v>442</v>
      </c>
      <c r="B65" s="71" t="s">
        <v>443</v>
      </c>
      <c r="C65" s="71"/>
      <c r="D65" s="71" t="s">
        <v>444</v>
      </c>
      <c r="E65" s="71" t="s">
        <v>441</v>
      </c>
      <c r="F65" s="75"/>
      <c r="G65" s="59" t="s">
        <v>132</v>
      </c>
      <c r="H65" s="60" t="s">
        <v>61</v>
      </c>
      <c r="I65" s="82"/>
      <c r="J65" s="82"/>
      <c r="K65" s="61" t="s">
        <v>674</v>
      </c>
      <c r="L65" s="66"/>
      <c r="M65" s="71" t="s">
        <v>96</v>
      </c>
      <c r="N65" s="71" t="s">
        <v>40</v>
      </c>
      <c r="O65" s="64" t="s">
        <v>689</v>
      </c>
      <c r="P65" s="80" t="s">
        <v>737</v>
      </c>
      <c r="Q65" s="66"/>
      <c r="R65" s="66"/>
      <c r="S65" s="66"/>
      <c r="T65" s="66"/>
      <c r="U65" s="66"/>
      <c r="V65" s="66"/>
      <c r="W65" s="66"/>
      <c r="X65" s="66"/>
      <c r="Y65" s="66"/>
    </row>
    <row r="66">
      <c r="F66" s="83"/>
      <c r="G66" s="84"/>
      <c r="H66" s="83"/>
      <c r="K66" s="83"/>
      <c r="P66" s="83"/>
    </row>
    <row r="67">
      <c r="F67" s="83"/>
      <c r="G67" s="84"/>
      <c r="H67" s="83"/>
      <c r="K67" s="85"/>
      <c r="P67" s="83"/>
    </row>
    <row r="68">
      <c r="F68" s="83"/>
      <c r="G68" s="84"/>
      <c r="H68" s="83"/>
      <c r="K68" s="83"/>
      <c r="P68" s="83"/>
    </row>
    <row r="69">
      <c r="F69" s="83"/>
      <c r="G69" s="84"/>
      <c r="H69" s="83"/>
      <c r="K69" s="83"/>
      <c r="P69" s="83"/>
    </row>
    <row r="70">
      <c r="F70" s="83"/>
      <c r="G70" s="84"/>
      <c r="H70" s="83"/>
      <c r="K70" s="83"/>
      <c r="P70" s="83"/>
    </row>
    <row r="71">
      <c r="F71" s="83"/>
      <c r="G71" s="84"/>
      <c r="H71" s="83"/>
      <c r="K71" s="83"/>
      <c r="P71" s="83"/>
    </row>
    <row r="72">
      <c r="F72" s="83"/>
      <c r="G72" s="84"/>
      <c r="H72" s="83"/>
      <c r="K72" s="83"/>
      <c r="P72" s="83"/>
    </row>
    <row r="73">
      <c r="F73" s="83"/>
      <c r="G73" s="84"/>
      <c r="H73" s="83"/>
      <c r="K73" s="83"/>
      <c r="P73" s="83"/>
    </row>
    <row r="74">
      <c r="F74" s="83"/>
      <c r="G74" s="84"/>
      <c r="H74" s="83"/>
      <c r="K74" s="83"/>
      <c r="P74" s="83"/>
    </row>
    <row r="75">
      <c r="F75" s="83"/>
      <c r="G75" s="84"/>
      <c r="H75" s="83"/>
      <c r="K75" s="83"/>
      <c r="P75" s="83"/>
    </row>
    <row r="76">
      <c r="F76" s="83"/>
      <c r="G76" s="84"/>
      <c r="H76" s="83"/>
      <c r="K76" s="83"/>
      <c r="P76" s="83"/>
    </row>
    <row r="77">
      <c r="F77" s="83"/>
      <c r="G77" s="84"/>
      <c r="H77" s="83"/>
      <c r="K77" s="83"/>
      <c r="P77" s="83"/>
    </row>
    <row r="78">
      <c r="F78" s="83"/>
      <c r="G78" s="84"/>
      <c r="H78" s="83"/>
      <c r="K78" s="83"/>
      <c r="P78" s="83"/>
    </row>
    <row r="79">
      <c r="F79" s="83"/>
      <c r="G79" s="84"/>
      <c r="H79" s="83"/>
      <c r="K79" s="83"/>
      <c r="P79" s="83"/>
    </row>
    <row r="80">
      <c r="F80" s="83"/>
      <c r="G80" s="84"/>
      <c r="H80" s="83"/>
      <c r="K80" s="83"/>
      <c r="P80" s="83"/>
    </row>
    <row r="81">
      <c r="F81" s="83"/>
      <c r="G81" s="84"/>
      <c r="H81" s="83"/>
      <c r="K81" s="83"/>
      <c r="P81" s="83"/>
    </row>
    <row r="82">
      <c r="F82" s="83"/>
      <c r="G82" s="84"/>
      <c r="H82" s="83"/>
      <c r="K82" s="83"/>
      <c r="P82" s="83"/>
    </row>
    <row r="83">
      <c r="F83" s="83"/>
      <c r="G83" s="84"/>
      <c r="H83" s="83"/>
      <c r="K83" s="83"/>
      <c r="P83" s="83"/>
    </row>
    <row r="84">
      <c r="F84" s="83"/>
      <c r="G84" s="84"/>
      <c r="H84" s="83"/>
      <c r="K84" s="83"/>
      <c r="P84" s="83"/>
    </row>
    <row r="85">
      <c r="F85" s="83"/>
      <c r="G85" s="84"/>
      <c r="H85" s="83"/>
      <c r="K85" s="83"/>
      <c r="P85" s="83"/>
    </row>
    <row r="86">
      <c r="F86" s="83"/>
      <c r="G86" s="84"/>
      <c r="H86" s="83"/>
      <c r="K86" s="83"/>
      <c r="P86" s="83"/>
    </row>
    <row r="87">
      <c r="F87" s="83"/>
      <c r="G87" s="84"/>
      <c r="H87" s="83"/>
      <c r="K87" s="83"/>
      <c r="P87" s="83"/>
    </row>
    <row r="88">
      <c r="F88" s="83"/>
      <c r="G88" s="84"/>
      <c r="H88" s="83"/>
      <c r="K88" s="83"/>
      <c r="P88" s="83"/>
    </row>
    <row r="89">
      <c r="F89" s="83"/>
      <c r="G89" s="84"/>
      <c r="H89" s="83"/>
      <c r="K89" s="83"/>
      <c r="P89" s="83"/>
    </row>
    <row r="90">
      <c r="F90" s="83"/>
      <c r="G90" s="84"/>
      <c r="H90" s="83"/>
      <c r="K90" s="83"/>
      <c r="P90" s="83"/>
    </row>
    <row r="91">
      <c r="F91" s="83"/>
      <c r="G91" s="84"/>
      <c r="H91" s="83"/>
      <c r="K91" s="83"/>
      <c r="P91" s="83"/>
    </row>
    <row r="92">
      <c r="F92" s="83"/>
      <c r="G92" s="84"/>
      <c r="H92" s="83"/>
      <c r="K92" s="83"/>
      <c r="P92" s="83"/>
    </row>
    <row r="93">
      <c r="F93" s="83"/>
      <c r="G93" s="84"/>
      <c r="H93" s="83"/>
      <c r="K93" s="83"/>
      <c r="P93" s="83"/>
    </row>
    <row r="94">
      <c r="F94" s="83"/>
      <c r="G94" s="84"/>
      <c r="H94" s="83"/>
      <c r="K94" s="83"/>
      <c r="P94" s="83"/>
    </row>
    <row r="95">
      <c r="F95" s="83"/>
      <c r="G95" s="84"/>
      <c r="H95" s="83"/>
      <c r="K95" s="83"/>
      <c r="P95" s="83"/>
    </row>
    <row r="96">
      <c r="F96" s="83"/>
      <c r="G96" s="84"/>
      <c r="H96" s="83"/>
      <c r="K96" s="83"/>
      <c r="P96" s="83"/>
    </row>
    <row r="97">
      <c r="F97" s="83"/>
      <c r="G97" s="84"/>
      <c r="H97" s="83"/>
      <c r="K97" s="83"/>
      <c r="P97" s="83"/>
    </row>
    <row r="98">
      <c r="F98" s="83"/>
      <c r="G98" s="84"/>
      <c r="H98" s="83"/>
      <c r="K98" s="83"/>
      <c r="P98" s="83"/>
    </row>
    <row r="99">
      <c r="F99" s="83"/>
      <c r="G99" s="84"/>
      <c r="H99" s="83"/>
      <c r="K99" s="83"/>
      <c r="P99" s="83"/>
    </row>
    <row r="100">
      <c r="F100" s="83"/>
      <c r="G100" s="84"/>
      <c r="H100" s="83"/>
      <c r="K100" s="83"/>
      <c r="P100" s="83"/>
    </row>
    <row r="101">
      <c r="F101" s="83"/>
      <c r="G101" s="84"/>
      <c r="H101" s="83"/>
      <c r="K101" s="83"/>
      <c r="P101" s="83"/>
    </row>
    <row r="102">
      <c r="F102" s="83"/>
      <c r="G102" s="84"/>
      <c r="H102" s="83"/>
      <c r="K102" s="83"/>
      <c r="P102" s="83"/>
    </row>
    <row r="103">
      <c r="F103" s="83"/>
      <c r="G103" s="84"/>
      <c r="H103" s="83"/>
      <c r="K103" s="83"/>
      <c r="P103" s="83"/>
    </row>
    <row r="104">
      <c r="F104" s="83"/>
      <c r="G104" s="84"/>
      <c r="H104" s="83"/>
      <c r="K104" s="83"/>
      <c r="P104" s="83"/>
    </row>
    <row r="105">
      <c r="F105" s="83"/>
      <c r="G105" s="84"/>
      <c r="H105" s="83"/>
      <c r="K105" s="83"/>
      <c r="P105" s="83"/>
    </row>
    <row r="106">
      <c r="F106" s="83"/>
      <c r="G106" s="84"/>
      <c r="H106" s="83"/>
      <c r="K106" s="83"/>
      <c r="P106" s="83"/>
    </row>
    <row r="107">
      <c r="F107" s="83"/>
      <c r="G107" s="84"/>
      <c r="H107" s="83"/>
      <c r="K107" s="83"/>
      <c r="P107" s="83"/>
    </row>
    <row r="108">
      <c r="F108" s="83"/>
      <c r="G108" s="84"/>
      <c r="H108" s="83"/>
      <c r="K108" s="83"/>
      <c r="P108" s="83"/>
    </row>
    <row r="109">
      <c r="F109" s="83"/>
      <c r="G109" s="84"/>
      <c r="H109" s="83"/>
      <c r="K109" s="83"/>
      <c r="P109" s="83"/>
    </row>
    <row r="110">
      <c r="F110" s="83"/>
      <c r="G110" s="84"/>
      <c r="H110" s="83"/>
      <c r="K110" s="83"/>
      <c r="P110" s="83"/>
    </row>
    <row r="111">
      <c r="F111" s="83"/>
      <c r="G111" s="84"/>
      <c r="H111" s="83"/>
      <c r="K111" s="83"/>
      <c r="P111" s="83"/>
    </row>
    <row r="112">
      <c r="F112" s="83"/>
      <c r="G112" s="84"/>
      <c r="H112" s="83"/>
      <c r="K112" s="83"/>
      <c r="P112" s="83"/>
    </row>
    <row r="113">
      <c r="F113" s="83"/>
      <c r="G113" s="84"/>
      <c r="H113" s="83"/>
      <c r="K113" s="83"/>
      <c r="P113" s="83"/>
    </row>
    <row r="114">
      <c r="F114" s="83"/>
      <c r="G114" s="84"/>
      <c r="H114" s="83"/>
      <c r="K114" s="83"/>
      <c r="P114" s="83"/>
    </row>
    <row r="115">
      <c r="F115" s="83"/>
      <c r="G115" s="84"/>
      <c r="H115" s="83"/>
      <c r="K115" s="83"/>
      <c r="P115" s="83"/>
    </row>
    <row r="116">
      <c r="F116" s="83"/>
      <c r="G116" s="84"/>
      <c r="H116" s="83"/>
      <c r="K116" s="83"/>
      <c r="P116" s="83"/>
    </row>
    <row r="117">
      <c r="F117" s="83"/>
      <c r="G117" s="84"/>
      <c r="H117" s="83"/>
      <c r="K117" s="83"/>
      <c r="P117" s="83"/>
    </row>
    <row r="118">
      <c r="F118" s="83"/>
      <c r="G118" s="84"/>
      <c r="H118" s="83"/>
      <c r="K118" s="83"/>
      <c r="P118" s="83"/>
    </row>
    <row r="119">
      <c r="F119" s="83"/>
      <c r="G119" s="84"/>
      <c r="H119" s="83"/>
      <c r="K119" s="83"/>
      <c r="P119" s="83"/>
    </row>
    <row r="120">
      <c r="F120" s="83"/>
      <c r="G120" s="84"/>
      <c r="H120" s="83"/>
      <c r="K120" s="83"/>
      <c r="P120" s="83"/>
    </row>
    <row r="121">
      <c r="F121" s="83"/>
      <c r="G121" s="84"/>
      <c r="H121" s="83"/>
      <c r="K121" s="83"/>
      <c r="P121" s="83"/>
    </row>
    <row r="122">
      <c r="F122" s="83"/>
      <c r="G122" s="84"/>
      <c r="H122" s="83"/>
      <c r="K122" s="83"/>
      <c r="P122" s="83"/>
    </row>
    <row r="123">
      <c r="F123" s="83"/>
      <c r="G123" s="84"/>
      <c r="H123" s="83"/>
      <c r="K123" s="83"/>
      <c r="P123" s="83"/>
    </row>
    <row r="124">
      <c r="F124" s="83"/>
      <c r="G124" s="84"/>
      <c r="H124" s="83"/>
      <c r="K124" s="83"/>
      <c r="P124" s="83"/>
    </row>
    <row r="125">
      <c r="F125" s="83"/>
      <c r="G125" s="84"/>
      <c r="H125" s="83"/>
      <c r="K125" s="83"/>
      <c r="P125" s="83"/>
    </row>
    <row r="126">
      <c r="F126" s="83"/>
      <c r="G126" s="84"/>
      <c r="H126" s="83"/>
      <c r="K126" s="83"/>
      <c r="P126" s="83"/>
    </row>
    <row r="127">
      <c r="F127" s="83"/>
      <c r="G127" s="84"/>
      <c r="H127" s="83"/>
      <c r="K127" s="83"/>
      <c r="P127" s="83"/>
    </row>
    <row r="128">
      <c r="F128" s="83"/>
      <c r="G128" s="84"/>
      <c r="H128" s="83"/>
      <c r="K128" s="83"/>
      <c r="P128" s="83"/>
    </row>
    <row r="129">
      <c r="F129" s="83"/>
      <c r="G129" s="84"/>
      <c r="H129" s="83"/>
      <c r="K129" s="83"/>
      <c r="P129" s="83"/>
    </row>
    <row r="130">
      <c r="F130" s="83"/>
      <c r="G130" s="84"/>
      <c r="H130" s="83"/>
      <c r="K130" s="83"/>
      <c r="P130" s="83"/>
    </row>
    <row r="131">
      <c r="F131" s="83"/>
      <c r="G131" s="84"/>
      <c r="H131" s="83"/>
      <c r="K131" s="83"/>
      <c r="P131" s="83"/>
    </row>
    <row r="132">
      <c r="F132" s="83"/>
      <c r="G132" s="84"/>
      <c r="H132" s="83"/>
      <c r="K132" s="83"/>
      <c r="P132" s="83"/>
    </row>
    <row r="133">
      <c r="F133" s="83"/>
      <c r="G133" s="84"/>
      <c r="H133" s="83"/>
      <c r="K133" s="83"/>
      <c r="P133" s="83"/>
    </row>
    <row r="134">
      <c r="F134" s="83"/>
      <c r="G134" s="84"/>
      <c r="H134" s="83"/>
      <c r="K134" s="83"/>
      <c r="P134" s="83"/>
    </row>
    <row r="135">
      <c r="F135" s="83"/>
      <c r="G135" s="84"/>
      <c r="H135" s="83"/>
      <c r="K135" s="83"/>
      <c r="P135" s="83"/>
    </row>
    <row r="136">
      <c r="F136" s="83"/>
      <c r="G136" s="84"/>
      <c r="H136" s="83"/>
      <c r="K136" s="83"/>
      <c r="P136" s="83"/>
    </row>
    <row r="137">
      <c r="F137" s="83"/>
      <c r="G137" s="84"/>
      <c r="H137" s="83"/>
      <c r="K137" s="83"/>
      <c r="P137" s="83"/>
    </row>
    <row r="138">
      <c r="F138" s="83"/>
      <c r="G138" s="84"/>
      <c r="H138" s="83"/>
      <c r="K138" s="83"/>
      <c r="P138" s="83"/>
    </row>
    <row r="139">
      <c r="F139" s="83"/>
      <c r="G139" s="84"/>
      <c r="H139" s="83"/>
      <c r="K139" s="83"/>
      <c r="P139" s="83"/>
    </row>
    <row r="140">
      <c r="F140" s="83"/>
      <c r="G140" s="84"/>
      <c r="H140" s="83"/>
      <c r="K140" s="83"/>
      <c r="P140" s="83"/>
    </row>
    <row r="141">
      <c r="F141" s="83"/>
      <c r="G141" s="84"/>
      <c r="H141" s="83"/>
      <c r="K141" s="83"/>
      <c r="P141" s="83"/>
    </row>
    <row r="142">
      <c r="F142" s="83"/>
      <c r="G142" s="84"/>
      <c r="H142" s="83"/>
      <c r="K142" s="83"/>
      <c r="P142" s="83"/>
    </row>
    <row r="143">
      <c r="F143" s="83"/>
      <c r="G143" s="84"/>
      <c r="H143" s="83"/>
      <c r="K143" s="83"/>
      <c r="P143" s="83"/>
    </row>
    <row r="144">
      <c r="F144" s="83"/>
      <c r="G144" s="84"/>
      <c r="H144" s="83"/>
      <c r="K144" s="83"/>
      <c r="P144" s="83"/>
    </row>
    <row r="145">
      <c r="F145" s="83"/>
      <c r="G145" s="84"/>
      <c r="H145" s="83"/>
      <c r="K145" s="83"/>
      <c r="P145" s="83"/>
    </row>
    <row r="146">
      <c r="F146" s="83"/>
      <c r="G146" s="84"/>
      <c r="H146" s="83"/>
      <c r="K146" s="83"/>
      <c r="P146" s="83"/>
    </row>
    <row r="147">
      <c r="F147" s="83"/>
      <c r="G147" s="84"/>
      <c r="H147" s="83"/>
      <c r="K147" s="83"/>
      <c r="P147" s="83"/>
    </row>
    <row r="148">
      <c r="F148" s="83"/>
      <c r="G148" s="84"/>
      <c r="H148" s="83"/>
      <c r="K148" s="83"/>
      <c r="P148" s="83"/>
    </row>
    <row r="149">
      <c r="F149" s="83"/>
      <c r="G149" s="84"/>
      <c r="H149" s="83"/>
      <c r="K149" s="83"/>
      <c r="P149" s="83"/>
    </row>
    <row r="150">
      <c r="F150" s="83"/>
      <c r="G150" s="84"/>
      <c r="H150" s="83"/>
      <c r="K150" s="83"/>
      <c r="P150" s="83"/>
    </row>
    <row r="151">
      <c r="F151" s="83"/>
      <c r="G151" s="84"/>
      <c r="H151" s="83"/>
      <c r="K151" s="83"/>
      <c r="P151" s="83"/>
    </row>
    <row r="152">
      <c r="F152" s="83"/>
      <c r="G152" s="84"/>
      <c r="H152" s="83"/>
      <c r="K152" s="83"/>
      <c r="P152" s="83"/>
    </row>
    <row r="153">
      <c r="F153" s="83"/>
      <c r="G153" s="84"/>
      <c r="H153" s="83"/>
      <c r="K153" s="83"/>
      <c r="P153" s="83"/>
    </row>
    <row r="154">
      <c r="F154" s="83"/>
      <c r="G154" s="84"/>
      <c r="H154" s="83"/>
      <c r="K154" s="83"/>
      <c r="P154" s="83"/>
    </row>
    <row r="155">
      <c r="F155" s="83"/>
      <c r="G155" s="84"/>
      <c r="H155" s="83"/>
      <c r="K155" s="83"/>
      <c r="P155" s="83"/>
    </row>
    <row r="156">
      <c r="F156" s="83"/>
      <c r="G156" s="84"/>
      <c r="H156" s="83"/>
      <c r="K156" s="83"/>
      <c r="P156" s="83"/>
    </row>
    <row r="157">
      <c r="F157" s="83"/>
      <c r="G157" s="84"/>
      <c r="H157" s="83"/>
      <c r="K157" s="83"/>
      <c r="P157" s="83"/>
    </row>
    <row r="158">
      <c r="F158" s="83"/>
      <c r="G158" s="84"/>
      <c r="H158" s="83"/>
      <c r="K158" s="83"/>
      <c r="P158" s="83"/>
    </row>
    <row r="159">
      <c r="F159" s="83"/>
      <c r="G159" s="84"/>
      <c r="H159" s="83"/>
      <c r="K159" s="83"/>
      <c r="P159" s="83"/>
    </row>
    <row r="160">
      <c r="F160" s="83"/>
      <c r="G160" s="84"/>
      <c r="H160" s="83"/>
      <c r="K160" s="83"/>
      <c r="P160" s="83"/>
    </row>
    <row r="161">
      <c r="F161" s="83"/>
      <c r="G161" s="84"/>
      <c r="H161" s="83"/>
      <c r="K161" s="83"/>
      <c r="P161" s="83"/>
    </row>
    <row r="162">
      <c r="F162" s="83"/>
      <c r="G162" s="84"/>
      <c r="H162" s="83"/>
      <c r="K162" s="83"/>
      <c r="P162" s="83"/>
    </row>
    <row r="163">
      <c r="F163" s="83"/>
      <c r="G163" s="84"/>
      <c r="H163" s="83"/>
      <c r="K163" s="83"/>
      <c r="P163" s="83"/>
    </row>
    <row r="164">
      <c r="F164" s="83"/>
      <c r="G164" s="84"/>
      <c r="H164" s="83"/>
      <c r="K164" s="83"/>
      <c r="P164" s="83"/>
    </row>
    <row r="165">
      <c r="F165" s="83"/>
      <c r="G165" s="84"/>
      <c r="H165" s="83"/>
      <c r="K165" s="83"/>
      <c r="P165" s="83"/>
    </row>
    <row r="166">
      <c r="F166" s="83"/>
      <c r="G166" s="84"/>
      <c r="H166" s="83"/>
      <c r="K166" s="83"/>
      <c r="P166" s="83"/>
    </row>
    <row r="167">
      <c r="F167" s="83"/>
      <c r="G167" s="84"/>
      <c r="H167" s="83"/>
      <c r="K167" s="83"/>
      <c r="P167" s="83"/>
    </row>
    <row r="168">
      <c r="F168" s="83"/>
      <c r="G168" s="84"/>
      <c r="H168" s="83"/>
      <c r="K168" s="83"/>
      <c r="P168" s="83"/>
    </row>
    <row r="169">
      <c r="F169" s="83"/>
      <c r="G169" s="84"/>
      <c r="H169" s="83"/>
      <c r="K169" s="83"/>
      <c r="P169" s="83"/>
    </row>
    <row r="170">
      <c r="F170" s="83"/>
      <c r="G170" s="84"/>
      <c r="H170" s="83"/>
      <c r="K170" s="83"/>
      <c r="P170" s="83"/>
    </row>
    <row r="171">
      <c r="F171" s="83"/>
      <c r="G171" s="84"/>
      <c r="H171" s="83"/>
      <c r="K171" s="83"/>
      <c r="P171" s="83"/>
    </row>
    <row r="172">
      <c r="F172" s="83"/>
      <c r="G172" s="84"/>
      <c r="H172" s="83"/>
      <c r="K172" s="83"/>
      <c r="P172" s="83"/>
    </row>
    <row r="173">
      <c r="F173" s="83"/>
      <c r="G173" s="84"/>
      <c r="H173" s="83"/>
      <c r="K173" s="83"/>
      <c r="P173" s="83"/>
    </row>
    <row r="174">
      <c r="F174" s="83"/>
      <c r="G174" s="84"/>
      <c r="H174" s="83"/>
      <c r="K174" s="83"/>
      <c r="P174" s="83"/>
    </row>
    <row r="175">
      <c r="F175" s="83"/>
      <c r="G175" s="84"/>
      <c r="H175" s="83"/>
      <c r="K175" s="83"/>
      <c r="P175" s="83"/>
    </row>
    <row r="176">
      <c r="F176" s="83"/>
      <c r="G176" s="84"/>
      <c r="H176" s="83"/>
      <c r="K176" s="83"/>
      <c r="P176" s="83"/>
    </row>
    <row r="177">
      <c r="F177" s="83"/>
      <c r="G177" s="84"/>
      <c r="H177" s="83"/>
      <c r="K177" s="83"/>
      <c r="P177" s="83"/>
    </row>
    <row r="178">
      <c r="F178" s="83"/>
      <c r="G178" s="84"/>
      <c r="H178" s="83"/>
      <c r="K178" s="83"/>
      <c r="P178" s="83"/>
    </row>
    <row r="179">
      <c r="F179" s="83"/>
      <c r="G179" s="84"/>
      <c r="H179" s="83"/>
      <c r="K179" s="83"/>
      <c r="P179" s="83"/>
    </row>
    <row r="180">
      <c r="F180" s="83"/>
      <c r="G180" s="84"/>
      <c r="H180" s="83"/>
      <c r="K180" s="83"/>
      <c r="P180" s="83"/>
    </row>
    <row r="181">
      <c r="F181" s="83"/>
      <c r="G181" s="84"/>
      <c r="H181" s="83"/>
      <c r="K181" s="83"/>
      <c r="P181" s="83"/>
    </row>
    <row r="182">
      <c r="F182" s="83"/>
      <c r="G182" s="84"/>
      <c r="H182" s="83"/>
      <c r="K182" s="83"/>
      <c r="P182" s="83"/>
    </row>
    <row r="183">
      <c r="F183" s="83"/>
      <c r="G183" s="84"/>
      <c r="H183" s="83"/>
      <c r="K183" s="83"/>
      <c r="P183" s="83"/>
    </row>
    <row r="184">
      <c r="F184" s="83"/>
      <c r="G184" s="84"/>
      <c r="H184" s="83"/>
      <c r="K184" s="83"/>
      <c r="P184" s="83"/>
    </row>
    <row r="185">
      <c r="F185" s="83"/>
      <c r="G185" s="84"/>
      <c r="H185" s="83"/>
      <c r="K185" s="83"/>
      <c r="P185" s="83"/>
    </row>
    <row r="186">
      <c r="F186" s="83"/>
      <c r="G186" s="84"/>
      <c r="H186" s="83"/>
      <c r="K186" s="83"/>
      <c r="P186" s="83"/>
    </row>
    <row r="187">
      <c r="F187" s="83"/>
      <c r="G187" s="84"/>
      <c r="H187" s="83"/>
      <c r="K187" s="83"/>
      <c r="P187" s="83"/>
    </row>
    <row r="188">
      <c r="F188" s="83"/>
      <c r="G188" s="84"/>
      <c r="H188" s="83"/>
      <c r="K188" s="83"/>
      <c r="P188" s="83"/>
    </row>
    <row r="189">
      <c r="F189" s="83"/>
      <c r="G189" s="84"/>
      <c r="H189" s="83"/>
      <c r="K189" s="83"/>
      <c r="P189" s="83"/>
    </row>
    <row r="190">
      <c r="F190" s="83"/>
      <c r="G190" s="84"/>
      <c r="H190" s="83"/>
      <c r="K190" s="83"/>
      <c r="P190" s="83"/>
    </row>
    <row r="191">
      <c r="F191" s="83"/>
      <c r="G191" s="84"/>
      <c r="H191" s="83"/>
      <c r="K191" s="83"/>
      <c r="P191" s="83"/>
    </row>
    <row r="192">
      <c r="F192" s="83"/>
      <c r="G192" s="84"/>
      <c r="H192" s="83"/>
      <c r="K192" s="83"/>
      <c r="P192" s="83"/>
    </row>
    <row r="193">
      <c r="F193" s="83"/>
      <c r="G193" s="84"/>
      <c r="H193" s="83"/>
      <c r="K193" s="83"/>
      <c r="P193" s="83"/>
    </row>
    <row r="194">
      <c r="F194" s="83"/>
      <c r="G194" s="84"/>
      <c r="H194" s="83"/>
      <c r="K194" s="83"/>
      <c r="P194" s="83"/>
    </row>
    <row r="195">
      <c r="F195" s="83"/>
      <c r="G195" s="84"/>
      <c r="H195" s="83"/>
      <c r="K195" s="83"/>
      <c r="P195" s="83"/>
    </row>
    <row r="196">
      <c r="F196" s="83"/>
      <c r="G196" s="84"/>
      <c r="H196" s="83"/>
      <c r="K196" s="83"/>
      <c r="P196" s="83"/>
    </row>
    <row r="197">
      <c r="F197" s="83"/>
      <c r="G197" s="84"/>
      <c r="H197" s="83"/>
      <c r="K197" s="83"/>
      <c r="P197" s="83"/>
    </row>
    <row r="198">
      <c r="F198" s="83"/>
      <c r="G198" s="84"/>
      <c r="H198" s="83"/>
      <c r="K198" s="83"/>
      <c r="P198" s="83"/>
    </row>
    <row r="199">
      <c r="F199" s="83"/>
      <c r="G199" s="84"/>
      <c r="H199" s="83"/>
      <c r="K199" s="83"/>
      <c r="P199" s="83"/>
    </row>
    <row r="200">
      <c r="F200" s="83"/>
      <c r="G200" s="84"/>
      <c r="H200" s="83"/>
      <c r="K200" s="83"/>
      <c r="P200" s="83"/>
    </row>
    <row r="201">
      <c r="F201" s="83"/>
      <c r="G201" s="84"/>
      <c r="H201" s="83"/>
      <c r="K201" s="83"/>
      <c r="P201" s="83"/>
    </row>
    <row r="202">
      <c r="F202" s="83"/>
      <c r="G202" s="84"/>
      <c r="H202" s="83"/>
      <c r="K202" s="83"/>
      <c r="P202" s="83"/>
    </row>
    <row r="203">
      <c r="F203" s="83"/>
      <c r="G203" s="84"/>
      <c r="H203" s="83"/>
      <c r="K203" s="83"/>
      <c r="P203" s="83"/>
    </row>
    <row r="204">
      <c r="F204" s="83"/>
      <c r="G204" s="84"/>
      <c r="H204" s="83"/>
      <c r="K204" s="83"/>
      <c r="P204" s="83"/>
    </row>
    <row r="205">
      <c r="F205" s="83"/>
      <c r="G205" s="84"/>
      <c r="H205" s="83"/>
      <c r="K205" s="83"/>
      <c r="P205" s="83"/>
    </row>
    <row r="206">
      <c r="F206" s="83"/>
      <c r="G206" s="84"/>
      <c r="H206" s="83"/>
      <c r="K206" s="83"/>
      <c r="P206" s="83"/>
    </row>
    <row r="207">
      <c r="F207" s="83"/>
      <c r="G207" s="84"/>
      <c r="H207" s="83"/>
      <c r="K207" s="83"/>
      <c r="P207" s="83"/>
    </row>
    <row r="208">
      <c r="F208" s="83"/>
      <c r="G208" s="84"/>
      <c r="H208" s="83"/>
      <c r="K208" s="83"/>
      <c r="P208" s="83"/>
    </row>
    <row r="209">
      <c r="F209" s="83"/>
      <c r="G209" s="84"/>
      <c r="H209" s="83"/>
      <c r="K209" s="83"/>
      <c r="P209" s="83"/>
    </row>
    <row r="210">
      <c r="F210" s="83"/>
      <c r="G210" s="84"/>
      <c r="H210" s="83"/>
      <c r="K210" s="83"/>
      <c r="P210" s="83"/>
    </row>
    <row r="211">
      <c r="F211" s="83"/>
      <c r="G211" s="84"/>
      <c r="H211" s="83"/>
      <c r="K211" s="83"/>
      <c r="P211" s="83"/>
    </row>
    <row r="212">
      <c r="F212" s="83"/>
      <c r="G212" s="84"/>
      <c r="H212" s="83"/>
      <c r="K212" s="83"/>
      <c r="P212" s="83"/>
    </row>
    <row r="213">
      <c r="F213" s="83"/>
      <c r="G213" s="84"/>
      <c r="H213" s="83"/>
      <c r="K213" s="83"/>
      <c r="P213" s="83"/>
    </row>
    <row r="214">
      <c r="F214" s="83"/>
      <c r="G214" s="84"/>
      <c r="H214" s="83"/>
      <c r="K214" s="83"/>
      <c r="P214" s="83"/>
    </row>
    <row r="215">
      <c r="F215" s="83"/>
      <c r="G215" s="84"/>
      <c r="H215" s="83"/>
      <c r="K215" s="83"/>
      <c r="P215" s="83"/>
    </row>
    <row r="216">
      <c r="F216" s="83"/>
      <c r="G216" s="84"/>
      <c r="H216" s="83"/>
      <c r="K216" s="83"/>
      <c r="P216" s="83"/>
    </row>
    <row r="217">
      <c r="F217" s="83"/>
      <c r="G217" s="84"/>
      <c r="H217" s="83"/>
      <c r="K217" s="83"/>
      <c r="P217" s="83"/>
    </row>
    <row r="218">
      <c r="F218" s="83"/>
      <c r="G218" s="84"/>
      <c r="H218" s="83"/>
      <c r="K218" s="83"/>
      <c r="P218" s="83"/>
    </row>
    <row r="219">
      <c r="F219" s="83"/>
      <c r="G219" s="84"/>
      <c r="H219" s="83"/>
      <c r="K219" s="83"/>
      <c r="P219" s="83"/>
    </row>
    <row r="220">
      <c r="F220" s="83"/>
      <c r="G220" s="84"/>
      <c r="H220" s="83"/>
      <c r="K220" s="83"/>
      <c r="P220" s="83"/>
    </row>
    <row r="221">
      <c r="F221" s="83"/>
      <c r="G221" s="84"/>
      <c r="H221" s="83"/>
      <c r="K221" s="83"/>
      <c r="P221" s="83"/>
    </row>
    <row r="222">
      <c r="F222" s="83"/>
      <c r="G222" s="84"/>
      <c r="H222" s="83"/>
      <c r="K222" s="83"/>
      <c r="P222" s="83"/>
    </row>
    <row r="223">
      <c r="F223" s="83"/>
      <c r="G223" s="84"/>
      <c r="H223" s="83"/>
      <c r="K223" s="83"/>
      <c r="P223" s="83"/>
    </row>
    <row r="224">
      <c r="F224" s="83"/>
      <c r="G224" s="84"/>
      <c r="H224" s="83"/>
      <c r="K224" s="83"/>
      <c r="P224" s="83"/>
    </row>
    <row r="225">
      <c r="F225" s="83"/>
      <c r="G225" s="84"/>
      <c r="H225" s="83"/>
      <c r="K225" s="83"/>
      <c r="P225" s="83"/>
    </row>
    <row r="226">
      <c r="F226" s="83"/>
      <c r="G226" s="84"/>
      <c r="H226" s="83"/>
      <c r="K226" s="83"/>
      <c r="P226" s="83"/>
    </row>
    <row r="227">
      <c r="F227" s="83"/>
      <c r="G227" s="84"/>
      <c r="H227" s="83"/>
      <c r="K227" s="83"/>
      <c r="P227" s="83"/>
    </row>
    <row r="228">
      <c r="F228" s="83"/>
      <c r="G228" s="84"/>
      <c r="H228" s="83"/>
      <c r="K228" s="83"/>
      <c r="P228" s="83"/>
    </row>
    <row r="229">
      <c r="F229" s="83"/>
      <c r="G229" s="84"/>
      <c r="H229" s="83"/>
      <c r="K229" s="83"/>
      <c r="P229" s="83"/>
    </row>
    <row r="230">
      <c r="F230" s="83"/>
      <c r="G230" s="84"/>
      <c r="H230" s="83"/>
      <c r="K230" s="83"/>
      <c r="P230" s="83"/>
    </row>
    <row r="231">
      <c r="F231" s="83"/>
      <c r="G231" s="84"/>
      <c r="H231" s="83"/>
      <c r="K231" s="83"/>
      <c r="P231" s="83"/>
    </row>
    <row r="232">
      <c r="F232" s="83"/>
      <c r="G232" s="84"/>
      <c r="H232" s="83"/>
      <c r="K232" s="83"/>
      <c r="P232" s="83"/>
    </row>
    <row r="233">
      <c r="F233" s="83"/>
      <c r="G233" s="84"/>
      <c r="H233" s="83"/>
      <c r="K233" s="83"/>
      <c r="P233" s="83"/>
    </row>
    <row r="234">
      <c r="F234" s="83"/>
      <c r="G234" s="84"/>
      <c r="H234" s="83"/>
      <c r="K234" s="83"/>
      <c r="P234" s="83"/>
    </row>
    <row r="235">
      <c r="F235" s="83"/>
      <c r="G235" s="84"/>
      <c r="H235" s="83"/>
      <c r="K235" s="83"/>
      <c r="P235" s="83"/>
    </row>
    <row r="236">
      <c r="F236" s="83"/>
      <c r="G236" s="84"/>
      <c r="H236" s="83"/>
      <c r="K236" s="83"/>
      <c r="P236" s="83"/>
    </row>
    <row r="237">
      <c r="F237" s="83"/>
      <c r="G237" s="84"/>
      <c r="H237" s="83"/>
      <c r="K237" s="83"/>
      <c r="P237" s="83"/>
    </row>
    <row r="238">
      <c r="F238" s="83"/>
      <c r="G238" s="84"/>
      <c r="H238" s="83"/>
      <c r="K238" s="83"/>
      <c r="P238" s="83"/>
    </row>
    <row r="239">
      <c r="F239" s="83"/>
      <c r="G239" s="84"/>
      <c r="H239" s="83"/>
      <c r="K239" s="83"/>
      <c r="P239" s="83"/>
    </row>
    <row r="240">
      <c r="F240" s="83"/>
      <c r="G240" s="84"/>
      <c r="H240" s="83"/>
      <c r="K240" s="83"/>
      <c r="P240" s="83"/>
    </row>
    <row r="241">
      <c r="F241" s="83"/>
      <c r="G241" s="84"/>
      <c r="H241" s="83"/>
      <c r="K241" s="83"/>
      <c r="P241" s="83"/>
    </row>
    <row r="242">
      <c r="F242" s="83"/>
      <c r="G242" s="84"/>
      <c r="H242" s="83"/>
      <c r="K242" s="83"/>
      <c r="P242" s="83"/>
    </row>
    <row r="243">
      <c r="F243" s="83"/>
      <c r="G243" s="84"/>
      <c r="H243" s="83"/>
      <c r="K243" s="83"/>
      <c r="P243" s="83"/>
    </row>
    <row r="244">
      <c r="F244" s="83"/>
      <c r="G244" s="84"/>
      <c r="H244" s="83"/>
      <c r="K244" s="83"/>
      <c r="P244" s="83"/>
    </row>
    <row r="245">
      <c r="F245" s="83"/>
      <c r="G245" s="84"/>
      <c r="H245" s="83"/>
      <c r="K245" s="83"/>
      <c r="P245" s="83"/>
    </row>
    <row r="246">
      <c r="F246" s="83"/>
      <c r="G246" s="84"/>
      <c r="H246" s="83"/>
      <c r="K246" s="83"/>
      <c r="P246" s="83"/>
    </row>
    <row r="247">
      <c r="F247" s="83"/>
      <c r="G247" s="84"/>
      <c r="H247" s="83"/>
      <c r="K247" s="83"/>
      <c r="P247" s="83"/>
    </row>
    <row r="248">
      <c r="F248" s="83"/>
      <c r="G248" s="84"/>
      <c r="H248" s="83"/>
      <c r="K248" s="83"/>
      <c r="P248" s="83"/>
    </row>
    <row r="249">
      <c r="F249" s="83"/>
      <c r="G249" s="84"/>
      <c r="H249" s="83"/>
      <c r="K249" s="83"/>
      <c r="P249" s="83"/>
    </row>
    <row r="250">
      <c r="F250" s="83"/>
      <c r="G250" s="84"/>
      <c r="H250" s="83"/>
      <c r="K250" s="83"/>
      <c r="P250" s="83"/>
    </row>
    <row r="251">
      <c r="F251" s="83"/>
      <c r="G251" s="84"/>
      <c r="H251" s="83"/>
      <c r="K251" s="83"/>
      <c r="P251" s="83"/>
    </row>
    <row r="252">
      <c r="F252" s="83"/>
      <c r="G252" s="84"/>
      <c r="H252" s="83"/>
      <c r="K252" s="83"/>
      <c r="P252" s="83"/>
    </row>
    <row r="253">
      <c r="F253" s="83"/>
      <c r="G253" s="84"/>
      <c r="H253" s="83"/>
      <c r="K253" s="83"/>
      <c r="P253" s="83"/>
    </row>
    <row r="254">
      <c r="F254" s="83"/>
      <c r="G254" s="84"/>
      <c r="H254" s="83"/>
      <c r="K254" s="83"/>
      <c r="P254" s="83"/>
    </row>
    <row r="255">
      <c r="F255" s="83"/>
      <c r="G255" s="84"/>
      <c r="H255" s="83"/>
      <c r="K255" s="83"/>
      <c r="P255" s="83"/>
    </row>
    <row r="256">
      <c r="F256" s="83"/>
      <c r="G256" s="84"/>
      <c r="H256" s="83"/>
      <c r="K256" s="83"/>
      <c r="P256" s="83"/>
    </row>
    <row r="257">
      <c r="F257" s="83"/>
      <c r="G257" s="84"/>
      <c r="H257" s="83"/>
      <c r="K257" s="83"/>
      <c r="P257" s="83"/>
    </row>
    <row r="258">
      <c r="F258" s="83"/>
      <c r="G258" s="84"/>
      <c r="H258" s="83"/>
      <c r="K258" s="83"/>
      <c r="P258" s="83"/>
    </row>
    <row r="259">
      <c r="F259" s="83"/>
      <c r="G259" s="84"/>
      <c r="H259" s="83"/>
      <c r="K259" s="83"/>
      <c r="P259" s="83"/>
    </row>
    <row r="260">
      <c r="F260" s="83"/>
      <c r="G260" s="84"/>
      <c r="H260" s="83"/>
      <c r="K260" s="83"/>
      <c r="P260" s="83"/>
    </row>
    <row r="261">
      <c r="F261" s="83"/>
      <c r="G261" s="84"/>
      <c r="H261" s="83"/>
      <c r="K261" s="83"/>
      <c r="P261" s="83"/>
    </row>
    <row r="262">
      <c r="F262" s="83"/>
      <c r="G262" s="84"/>
      <c r="H262" s="83"/>
      <c r="K262" s="83"/>
      <c r="P262" s="83"/>
    </row>
    <row r="263">
      <c r="F263" s="83"/>
      <c r="G263" s="84"/>
      <c r="H263" s="83"/>
      <c r="K263" s="83"/>
      <c r="P263" s="83"/>
    </row>
    <row r="264">
      <c r="F264" s="83"/>
      <c r="G264" s="84"/>
      <c r="H264" s="83"/>
      <c r="K264" s="83"/>
      <c r="P264" s="83"/>
    </row>
    <row r="265">
      <c r="F265" s="83"/>
      <c r="G265" s="84"/>
      <c r="H265" s="83"/>
      <c r="K265" s="83"/>
      <c r="P265" s="83"/>
    </row>
    <row r="266">
      <c r="F266" s="83"/>
      <c r="G266" s="84"/>
      <c r="H266" s="83"/>
      <c r="K266" s="83"/>
      <c r="P266" s="83"/>
    </row>
    <row r="267">
      <c r="F267" s="83"/>
      <c r="G267" s="84"/>
      <c r="H267" s="83"/>
      <c r="K267" s="83"/>
      <c r="P267" s="83"/>
    </row>
    <row r="268">
      <c r="F268" s="83"/>
      <c r="G268" s="84"/>
      <c r="H268" s="83"/>
      <c r="K268" s="83"/>
      <c r="P268" s="83"/>
    </row>
    <row r="269">
      <c r="F269" s="83"/>
      <c r="G269" s="84"/>
      <c r="H269" s="83"/>
      <c r="K269" s="83"/>
      <c r="P269" s="83"/>
    </row>
    <row r="270">
      <c r="F270" s="83"/>
      <c r="G270" s="84"/>
      <c r="H270" s="83"/>
      <c r="K270" s="83"/>
      <c r="P270" s="83"/>
    </row>
    <row r="271">
      <c r="F271" s="83"/>
      <c r="G271" s="84"/>
      <c r="H271" s="83"/>
      <c r="K271" s="83"/>
      <c r="P271" s="83"/>
    </row>
    <row r="272">
      <c r="F272" s="83"/>
      <c r="G272" s="84"/>
      <c r="H272" s="83"/>
      <c r="K272" s="83"/>
      <c r="P272" s="83"/>
    </row>
    <row r="273">
      <c r="F273" s="83"/>
      <c r="G273" s="84"/>
      <c r="H273" s="83"/>
      <c r="K273" s="83"/>
      <c r="P273" s="83"/>
    </row>
    <row r="274">
      <c r="F274" s="83"/>
      <c r="G274" s="84"/>
      <c r="H274" s="83"/>
      <c r="K274" s="83"/>
      <c r="P274" s="83"/>
    </row>
    <row r="275">
      <c r="F275" s="83"/>
      <c r="G275" s="84"/>
      <c r="H275" s="83"/>
      <c r="K275" s="83"/>
      <c r="P275" s="83"/>
    </row>
    <row r="276">
      <c r="F276" s="83"/>
      <c r="G276" s="84"/>
      <c r="H276" s="83"/>
      <c r="K276" s="83"/>
      <c r="P276" s="83"/>
    </row>
    <row r="277">
      <c r="F277" s="83"/>
      <c r="G277" s="84"/>
      <c r="H277" s="83"/>
      <c r="K277" s="83"/>
      <c r="P277" s="83"/>
    </row>
    <row r="278">
      <c r="F278" s="83"/>
      <c r="G278" s="84"/>
      <c r="H278" s="83"/>
      <c r="K278" s="83"/>
      <c r="P278" s="83"/>
    </row>
    <row r="279">
      <c r="F279" s="83"/>
      <c r="G279" s="84"/>
      <c r="H279" s="83"/>
      <c r="K279" s="83"/>
      <c r="P279" s="83"/>
    </row>
    <row r="280">
      <c r="F280" s="83"/>
      <c r="G280" s="84"/>
      <c r="H280" s="83"/>
      <c r="K280" s="83"/>
      <c r="P280" s="83"/>
    </row>
    <row r="281">
      <c r="F281" s="83"/>
      <c r="G281" s="84"/>
      <c r="H281" s="83"/>
      <c r="K281" s="83"/>
      <c r="P281" s="83"/>
    </row>
    <row r="282">
      <c r="F282" s="83"/>
      <c r="G282" s="84"/>
      <c r="H282" s="83"/>
      <c r="K282" s="83"/>
      <c r="P282" s="83"/>
    </row>
    <row r="283">
      <c r="F283" s="83"/>
      <c r="G283" s="84"/>
      <c r="H283" s="83"/>
      <c r="K283" s="83"/>
      <c r="P283" s="83"/>
    </row>
    <row r="284">
      <c r="F284" s="83"/>
      <c r="G284" s="84"/>
      <c r="H284" s="83"/>
      <c r="K284" s="83"/>
      <c r="P284" s="83"/>
    </row>
    <row r="285">
      <c r="F285" s="83"/>
      <c r="G285" s="84"/>
      <c r="H285" s="83"/>
      <c r="K285" s="83"/>
      <c r="P285" s="83"/>
    </row>
    <row r="286">
      <c r="F286" s="83"/>
      <c r="G286" s="84"/>
      <c r="H286" s="83"/>
      <c r="K286" s="83"/>
      <c r="P286" s="83"/>
    </row>
    <row r="287">
      <c r="F287" s="83"/>
      <c r="G287" s="84"/>
      <c r="H287" s="83"/>
      <c r="K287" s="83"/>
      <c r="P287" s="83"/>
    </row>
    <row r="288">
      <c r="F288" s="83"/>
      <c r="G288" s="84"/>
      <c r="H288" s="83"/>
      <c r="K288" s="83"/>
      <c r="P288" s="83"/>
    </row>
    <row r="289">
      <c r="F289" s="83"/>
      <c r="G289" s="84"/>
      <c r="H289" s="83"/>
      <c r="K289" s="83"/>
      <c r="P289" s="83"/>
    </row>
    <row r="290">
      <c r="F290" s="83"/>
      <c r="G290" s="84"/>
      <c r="H290" s="83"/>
      <c r="K290" s="83"/>
      <c r="P290" s="83"/>
    </row>
    <row r="291">
      <c r="F291" s="83"/>
      <c r="G291" s="84"/>
      <c r="H291" s="83"/>
      <c r="K291" s="83"/>
      <c r="P291" s="83"/>
    </row>
    <row r="292">
      <c r="F292" s="83"/>
      <c r="G292" s="84"/>
      <c r="H292" s="83"/>
      <c r="K292" s="83"/>
      <c r="P292" s="83"/>
    </row>
    <row r="293">
      <c r="F293" s="83"/>
      <c r="G293" s="84"/>
      <c r="H293" s="83"/>
      <c r="K293" s="83"/>
      <c r="P293" s="83"/>
    </row>
    <row r="294">
      <c r="F294" s="83"/>
      <c r="G294" s="84"/>
      <c r="H294" s="83"/>
      <c r="K294" s="83"/>
      <c r="P294" s="83"/>
    </row>
    <row r="295">
      <c r="F295" s="83"/>
      <c r="G295" s="84"/>
      <c r="H295" s="83"/>
      <c r="K295" s="83"/>
      <c r="P295" s="83"/>
    </row>
    <row r="296">
      <c r="F296" s="83"/>
      <c r="G296" s="84"/>
      <c r="H296" s="83"/>
      <c r="K296" s="83"/>
      <c r="P296" s="83"/>
    </row>
    <row r="297">
      <c r="F297" s="83"/>
      <c r="G297" s="84"/>
      <c r="H297" s="83"/>
      <c r="K297" s="83"/>
      <c r="P297" s="83"/>
    </row>
    <row r="298">
      <c r="F298" s="83"/>
      <c r="G298" s="84"/>
      <c r="H298" s="83"/>
      <c r="K298" s="83"/>
      <c r="P298" s="83"/>
    </row>
    <row r="299">
      <c r="F299" s="83"/>
      <c r="G299" s="84"/>
      <c r="H299" s="83"/>
      <c r="K299" s="83"/>
      <c r="P299" s="83"/>
    </row>
    <row r="300">
      <c r="F300" s="83"/>
      <c r="G300" s="84"/>
      <c r="H300" s="83"/>
      <c r="K300" s="83"/>
      <c r="P300" s="83"/>
    </row>
    <row r="301">
      <c r="F301" s="83"/>
      <c r="G301" s="84"/>
      <c r="H301" s="83"/>
      <c r="K301" s="83"/>
      <c r="P301" s="83"/>
    </row>
    <row r="302">
      <c r="F302" s="83"/>
      <c r="G302" s="84"/>
      <c r="H302" s="83"/>
      <c r="K302" s="83"/>
      <c r="P302" s="83"/>
    </row>
    <row r="303">
      <c r="F303" s="83"/>
      <c r="G303" s="84"/>
      <c r="H303" s="83"/>
      <c r="K303" s="83"/>
      <c r="P303" s="83"/>
    </row>
    <row r="304">
      <c r="F304" s="83"/>
      <c r="G304" s="84"/>
      <c r="H304" s="83"/>
      <c r="K304" s="83"/>
      <c r="P304" s="83"/>
    </row>
    <row r="305">
      <c r="F305" s="83"/>
      <c r="G305" s="84"/>
      <c r="H305" s="83"/>
      <c r="K305" s="83"/>
      <c r="P305" s="83"/>
    </row>
    <row r="306">
      <c r="F306" s="83"/>
      <c r="G306" s="84"/>
      <c r="H306" s="83"/>
      <c r="K306" s="83"/>
      <c r="P306" s="83"/>
    </row>
    <row r="307">
      <c r="F307" s="83"/>
      <c r="G307" s="84"/>
      <c r="H307" s="83"/>
      <c r="K307" s="83"/>
      <c r="P307" s="83"/>
    </row>
    <row r="308">
      <c r="F308" s="83"/>
      <c r="G308" s="84"/>
      <c r="H308" s="83"/>
      <c r="K308" s="83"/>
      <c r="P308" s="83"/>
    </row>
    <row r="309">
      <c r="F309" s="83"/>
      <c r="G309" s="84"/>
      <c r="H309" s="83"/>
      <c r="K309" s="83"/>
      <c r="P309" s="83"/>
    </row>
    <row r="310">
      <c r="F310" s="83"/>
      <c r="G310" s="84"/>
      <c r="H310" s="83"/>
      <c r="K310" s="83"/>
      <c r="P310" s="83"/>
    </row>
    <row r="311">
      <c r="F311" s="83"/>
      <c r="G311" s="84"/>
      <c r="H311" s="83"/>
      <c r="K311" s="83"/>
      <c r="P311" s="83"/>
    </row>
    <row r="312">
      <c r="F312" s="83"/>
      <c r="G312" s="84"/>
      <c r="H312" s="83"/>
      <c r="K312" s="83"/>
      <c r="P312" s="83"/>
    </row>
    <row r="313">
      <c r="F313" s="83"/>
      <c r="G313" s="84"/>
      <c r="H313" s="83"/>
      <c r="K313" s="83"/>
      <c r="P313" s="83"/>
    </row>
    <row r="314">
      <c r="F314" s="83"/>
      <c r="G314" s="84"/>
      <c r="H314" s="83"/>
      <c r="K314" s="83"/>
      <c r="P314" s="83"/>
    </row>
    <row r="315">
      <c r="F315" s="83"/>
      <c r="G315" s="84"/>
      <c r="H315" s="83"/>
      <c r="K315" s="83"/>
      <c r="P315" s="83"/>
    </row>
    <row r="316">
      <c r="F316" s="83"/>
      <c r="G316" s="84"/>
      <c r="H316" s="83"/>
      <c r="K316" s="83"/>
      <c r="P316" s="83"/>
    </row>
    <row r="317">
      <c r="F317" s="83"/>
      <c r="G317" s="84"/>
      <c r="H317" s="83"/>
      <c r="K317" s="83"/>
      <c r="P317" s="83"/>
    </row>
    <row r="318">
      <c r="F318" s="83"/>
      <c r="G318" s="84"/>
      <c r="H318" s="83"/>
      <c r="K318" s="83"/>
      <c r="P318" s="83"/>
    </row>
    <row r="319">
      <c r="F319" s="83"/>
      <c r="G319" s="84"/>
      <c r="H319" s="83"/>
      <c r="K319" s="83"/>
      <c r="P319" s="83"/>
    </row>
    <row r="320">
      <c r="F320" s="83"/>
      <c r="G320" s="84"/>
      <c r="H320" s="83"/>
      <c r="K320" s="83"/>
      <c r="P320" s="83"/>
    </row>
    <row r="321">
      <c r="F321" s="83"/>
      <c r="G321" s="84"/>
      <c r="H321" s="83"/>
      <c r="K321" s="83"/>
      <c r="P321" s="83"/>
    </row>
    <row r="322">
      <c r="F322" s="83"/>
      <c r="G322" s="84"/>
      <c r="H322" s="83"/>
      <c r="K322" s="83"/>
      <c r="P322" s="83"/>
    </row>
    <row r="323">
      <c r="F323" s="83"/>
      <c r="G323" s="84"/>
      <c r="H323" s="83"/>
      <c r="K323" s="83"/>
      <c r="P323" s="83"/>
    </row>
    <row r="324">
      <c r="F324" s="83"/>
      <c r="G324" s="84"/>
      <c r="H324" s="83"/>
      <c r="K324" s="83"/>
      <c r="P324" s="83"/>
    </row>
    <row r="325">
      <c r="F325" s="83"/>
      <c r="G325" s="84"/>
      <c r="H325" s="83"/>
      <c r="K325" s="83"/>
      <c r="P325" s="83"/>
    </row>
    <row r="326">
      <c r="F326" s="83"/>
      <c r="G326" s="84"/>
      <c r="H326" s="83"/>
      <c r="K326" s="83"/>
      <c r="P326" s="83"/>
    </row>
    <row r="327">
      <c r="F327" s="83"/>
      <c r="G327" s="84"/>
      <c r="H327" s="83"/>
      <c r="K327" s="83"/>
      <c r="P327" s="83"/>
    </row>
    <row r="328">
      <c r="F328" s="83"/>
      <c r="G328" s="84"/>
      <c r="H328" s="83"/>
      <c r="K328" s="83"/>
      <c r="P328" s="83"/>
    </row>
    <row r="329">
      <c r="F329" s="83"/>
      <c r="G329" s="84"/>
      <c r="H329" s="83"/>
      <c r="K329" s="83"/>
      <c r="P329" s="83"/>
    </row>
    <row r="330">
      <c r="F330" s="83"/>
      <c r="G330" s="84"/>
      <c r="H330" s="83"/>
      <c r="K330" s="83"/>
      <c r="P330" s="83"/>
    </row>
    <row r="331">
      <c r="F331" s="83"/>
      <c r="G331" s="84"/>
      <c r="H331" s="83"/>
      <c r="K331" s="83"/>
      <c r="P331" s="83"/>
    </row>
    <row r="332">
      <c r="F332" s="83"/>
      <c r="G332" s="84"/>
      <c r="H332" s="83"/>
      <c r="K332" s="83"/>
      <c r="P332" s="83"/>
    </row>
    <row r="333">
      <c r="F333" s="83"/>
      <c r="G333" s="84"/>
      <c r="H333" s="83"/>
      <c r="K333" s="83"/>
      <c r="P333" s="83"/>
    </row>
    <row r="334">
      <c r="F334" s="83"/>
      <c r="G334" s="84"/>
      <c r="H334" s="83"/>
      <c r="K334" s="83"/>
      <c r="P334" s="83"/>
    </row>
    <row r="335">
      <c r="F335" s="83"/>
      <c r="G335" s="84"/>
      <c r="H335" s="83"/>
      <c r="K335" s="83"/>
      <c r="P335" s="83"/>
    </row>
    <row r="336">
      <c r="F336" s="83"/>
      <c r="G336" s="84"/>
      <c r="H336" s="83"/>
      <c r="K336" s="83"/>
      <c r="P336" s="83"/>
    </row>
    <row r="337">
      <c r="F337" s="83"/>
      <c r="G337" s="84"/>
      <c r="H337" s="83"/>
      <c r="K337" s="83"/>
      <c r="P337" s="83"/>
    </row>
    <row r="338">
      <c r="F338" s="83"/>
      <c r="G338" s="84"/>
      <c r="H338" s="83"/>
      <c r="K338" s="83"/>
      <c r="P338" s="83"/>
    </row>
    <row r="339">
      <c r="F339" s="83"/>
      <c r="G339" s="84"/>
      <c r="H339" s="83"/>
      <c r="K339" s="83"/>
      <c r="P339" s="83"/>
    </row>
    <row r="340">
      <c r="F340" s="83"/>
      <c r="G340" s="84"/>
      <c r="H340" s="83"/>
      <c r="K340" s="83"/>
      <c r="P340" s="83"/>
    </row>
    <row r="341">
      <c r="F341" s="83"/>
      <c r="G341" s="84"/>
      <c r="H341" s="83"/>
      <c r="K341" s="83"/>
      <c r="P341" s="83"/>
    </row>
    <row r="342">
      <c r="F342" s="83"/>
      <c r="G342" s="84"/>
      <c r="H342" s="83"/>
      <c r="K342" s="83"/>
      <c r="P342" s="83"/>
    </row>
    <row r="343">
      <c r="F343" s="83"/>
      <c r="G343" s="84"/>
      <c r="H343" s="83"/>
      <c r="K343" s="83"/>
      <c r="P343" s="83"/>
    </row>
    <row r="344">
      <c r="F344" s="83"/>
      <c r="G344" s="84"/>
      <c r="H344" s="83"/>
      <c r="K344" s="83"/>
      <c r="P344" s="83"/>
    </row>
    <row r="345">
      <c r="F345" s="83"/>
      <c r="G345" s="84"/>
      <c r="H345" s="83"/>
      <c r="K345" s="83"/>
      <c r="P345" s="83"/>
    </row>
    <row r="346">
      <c r="F346" s="83"/>
      <c r="G346" s="84"/>
      <c r="H346" s="83"/>
      <c r="K346" s="83"/>
      <c r="P346" s="83"/>
    </row>
    <row r="347">
      <c r="F347" s="83"/>
      <c r="G347" s="84"/>
      <c r="H347" s="83"/>
      <c r="K347" s="83"/>
      <c r="P347" s="83"/>
    </row>
    <row r="348">
      <c r="F348" s="83"/>
      <c r="G348" s="84"/>
      <c r="H348" s="83"/>
      <c r="K348" s="83"/>
      <c r="P348" s="83"/>
    </row>
    <row r="349">
      <c r="F349" s="83"/>
      <c r="G349" s="84"/>
      <c r="H349" s="83"/>
      <c r="K349" s="83"/>
      <c r="P349" s="83"/>
    </row>
    <row r="350">
      <c r="F350" s="83"/>
      <c r="G350" s="84"/>
      <c r="H350" s="83"/>
      <c r="K350" s="83"/>
      <c r="P350" s="83"/>
    </row>
    <row r="351">
      <c r="F351" s="83"/>
      <c r="G351" s="84"/>
      <c r="H351" s="83"/>
      <c r="K351" s="83"/>
      <c r="P351" s="83"/>
    </row>
    <row r="352">
      <c r="F352" s="83"/>
      <c r="G352" s="84"/>
      <c r="H352" s="83"/>
      <c r="K352" s="83"/>
      <c r="P352" s="83"/>
    </row>
    <row r="353">
      <c r="F353" s="83"/>
      <c r="G353" s="84"/>
      <c r="H353" s="83"/>
      <c r="K353" s="83"/>
      <c r="P353" s="83"/>
    </row>
    <row r="354">
      <c r="F354" s="83"/>
      <c r="G354" s="84"/>
      <c r="H354" s="83"/>
      <c r="K354" s="83"/>
      <c r="P354" s="83"/>
    </row>
    <row r="355">
      <c r="F355" s="83"/>
      <c r="G355" s="84"/>
      <c r="H355" s="83"/>
      <c r="K355" s="83"/>
      <c r="P355" s="83"/>
    </row>
    <row r="356">
      <c r="F356" s="83"/>
      <c r="G356" s="84"/>
      <c r="H356" s="83"/>
      <c r="K356" s="83"/>
      <c r="P356" s="83"/>
    </row>
    <row r="357">
      <c r="F357" s="83"/>
      <c r="G357" s="84"/>
      <c r="H357" s="83"/>
      <c r="K357" s="83"/>
      <c r="P357" s="83"/>
    </row>
    <row r="358">
      <c r="F358" s="83"/>
      <c r="G358" s="84"/>
      <c r="H358" s="83"/>
      <c r="K358" s="83"/>
      <c r="P358" s="83"/>
    </row>
    <row r="359">
      <c r="F359" s="83"/>
      <c r="G359" s="84"/>
      <c r="H359" s="83"/>
      <c r="K359" s="83"/>
      <c r="P359" s="83"/>
    </row>
    <row r="360">
      <c r="F360" s="83"/>
      <c r="G360" s="84"/>
      <c r="H360" s="83"/>
      <c r="K360" s="83"/>
      <c r="P360" s="83"/>
    </row>
    <row r="361">
      <c r="F361" s="83"/>
      <c r="G361" s="84"/>
      <c r="H361" s="83"/>
      <c r="K361" s="83"/>
      <c r="P361" s="83"/>
    </row>
    <row r="362">
      <c r="F362" s="83"/>
      <c r="G362" s="84"/>
      <c r="H362" s="83"/>
      <c r="K362" s="83"/>
      <c r="P362" s="83"/>
    </row>
    <row r="363">
      <c r="F363" s="83"/>
      <c r="G363" s="84"/>
      <c r="H363" s="83"/>
      <c r="K363" s="83"/>
      <c r="P363" s="83"/>
    </row>
    <row r="364">
      <c r="F364" s="83"/>
      <c r="G364" s="84"/>
      <c r="H364" s="83"/>
      <c r="K364" s="83"/>
      <c r="P364" s="83"/>
    </row>
    <row r="365">
      <c r="F365" s="83"/>
      <c r="G365" s="84"/>
      <c r="H365" s="83"/>
      <c r="K365" s="83"/>
      <c r="P365" s="83"/>
    </row>
    <row r="366">
      <c r="F366" s="83"/>
      <c r="G366" s="84"/>
      <c r="H366" s="83"/>
      <c r="K366" s="83"/>
      <c r="P366" s="83"/>
    </row>
    <row r="367">
      <c r="F367" s="83"/>
      <c r="G367" s="84"/>
      <c r="H367" s="83"/>
      <c r="K367" s="83"/>
      <c r="P367" s="83"/>
    </row>
    <row r="368">
      <c r="F368" s="83"/>
      <c r="G368" s="84"/>
      <c r="H368" s="83"/>
      <c r="K368" s="83"/>
      <c r="P368" s="83"/>
    </row>
    <row r="369">
      <c r="F369" s="83"/>
      <c r="G369" s="84"/>
      <c r="H369" s="83"/>
      <c r="K369" s="83"/>
      <c r="P369" s="83"/>
    </row>
    <row r="370">
      <c r="F370" s="83"/>
      <c r="G370" s="84"/>
      <c r="H370" s="83"/>
      <c r="K370" s="83"/>
      <c r="P370" s="83"/>
    </row>
    <row r="371">
      <c r="F371" s="83"/>
      <c r="G371" s="84"/>
      <c r="H371" s="83"/>
      <c r="K371" s="83"/>
      <c r="P371" s="83"/>
    </row>
    <row r="372">
      <c r="F372" s="83"/>
      <c r="G372" s="84"/>
      <c r="H372" s="83"/>
      <c r="K372" s="83"/>
      <c r="P372" s="83"/>
    </row>
    <row r="373">
      <c r="F373" s="83"/>
      <c r="G373" s="84"/>
      <c r="H373" s="83"/>
      <c r="K373" s="83"/>
      <c r="P373" s="83"/>
    </row>
    <row r="374">
      <c r="F374" s="83"/>
      <c r="G374" s="84"/>
      <c r="H374" s="83"/>
      <c r="K374" s="83"/>
      <c r="P374" s="83"/>
    </row>
    <row r="375">
      <c r="F375" s="83"/>
      <c r="G375" s="84"/>
      <c r="H375" s="83"/>
      <c r="K375" s="83"/>
      <c r="P375" s="83"/>
    </row>
    <row r="376">
      <c r="F376" s="83"/>
      <c r="G376" s="84"/>
      <c r="H376" s="83"/>
      <c r="K376" s="83"/>
      <c r="P376" s="83"/>
    </row>
    <row r="377">
      <c r="F377" s="83"/>
      <c r="G377" s="84"/>
      <c r="H377" s="83"/>
      <c r="K377" s="83"/>
      <c r="P377" s="83"/>
    </row>
    <row r="378">
      <c r="F378" s="83"/>
      <c r="G378" s="84"/>
      <c r="H378" s="83"/>
      <c r="K378" s="83"/>
      <c r="P378" s="83"/>
    </row>
    <row r="379">
      <c r="F379" s="83"/>
      <c r="G379" s="84"/>
      <c r="H379" s="83"/>
      <c r="K379" s="83"/>
      <c r="P379" s="83"/>
    </row>
    <row r="380">
      <c r="F380" s="83"/>
      <c r="G380" s="84"/>
      <c r="H380" s="83"/>
      <c r="K380" s="83"/>
      <c r="P380" s="83"/>
    </row>
    <row r="381">
      <c r="F381" s="83"/>
      <c r="G381" s="84"/>
      <c r="H381" s="83"/>
      <c r="K381" s="83"/>
      <c r="P381" s="83"/>
    </row>
    <row r="382">
      <c r="F382" s="83"/>
      <c r="G382" s="84"/>
      <c r="H382" s="83"/>
      <c r="K382" s="83"/>
      <c r="P382" s="83"/>
    </row>
    <row r="383">
      <c r="F383" s="83"/>
      <c r="G383" s="84"/>
      <c r="H383" s="83"/>
      <c r="K383" s="83"/>
      <c r="P383" s="83"/>
    </row>
    <row r="384">
      <c r="F384" s="83"/>
      <c r="G384" s="84"/>
      <c r="H384" s="83"/>
      <c r="K384" s="83"/>
      <c r="P384" s="83"/>
    </row>
    <row r="385">
      <c r="F385" s="83"/>
      <c r="G385" s="84"/>
      <c r="H385" s="83"/>
      <c r="K385" s="83"/>
      <c r="P385" s="83"/>
    </row>
    <row r="386">
      <c r="F386" s="83"/>
      <c r="G386" s="84"/>
      <c r="H386" s="83"/>
      <c r="K386" s="83"/>
      <c r="P386" s="83"/>
    </row>
    <row r="387">
      <c r="F387" s="83"/>
      <c r="G387" s="84"/>
      <c r="H387" s="83"/>
      <c r="K387" s="83"/>
      <c r="P387" s="83"/>
    </row>
    <row r="388">
      <c r="F388" s="83"/>
      <c r="G388" s="84"/>
      <c r="H388" s="83"/>
      <c r="K388" s="83"/>
      <c r="P388" s="83"/>
    </row>
    <row r="389">
      <c r="F389" s="83"/>
      <c r="G389" s="84"/>
      <c r="H389" s="83"/>
      <c r="K389" s="83"/>
      <c r="P389" s="83"/>
    </row>
    <row r="390">
      <c r="F390" s="83"/>
      <c r="G390" s="84"/>
      <c r="H390" s="83"/>
      <c r="K390" s="83"/>
      <c r="P390" s="83"/>
    </row>
    <row r="391">
      <c r="F391" s="83"/>
      <c r="G391" s="84"/>
      <c r="H391" s="83"/>
      <c r="K391" s="83"/>
      <c r="P391" s="83"/>
    </row>
    <row r="392">
      <c r="F392" s="83"/>
      <c r="G392" s="84"/>
      <c r="H392" s="83"/>
      <c r="K392" s="83"/>
      <c r="P392" s="83"/>
    </row>
    <row r="393">
      <c r="F393" s="83"/>
      <c r="G393" s="84"/>
      <c r="H393" s="83"/>
      <c r="K393" s="83"/>
      <c r="P393" s="83"/>
    </row>
    <row r="394">
      <c r="F394" s="83"/>
      <c r="G394" s="84"/>
      <c r="H394" s="83"/>
      <c r="K394" s="83"/>
      <c r="P394" s="83"/>
    </row>
    <row r="395">
      <c r="F395" s="83"/>
      <c r="G395" s="84"/>
      <c r="H395" s="83"/>
      <c r="K395" s="83"/>
      <c r="P395" s="83"/>
    </row>
    <row r="396">
      <c r="F396" s="83"/>
      <c r="G396" s="84"/>
      <c r="H396" s="83"/>
      <c r="K396" s="83"/>
      <c r="P396" s="83"/>
    </row>
    <row r="397">
      <c r="F397" s="83"/>
      <c r="G397" s="84"/>
      <c r="H397" s="83"/>
      <c r="K397" s="83"/>
      <c r="P397" s="83"/>
    </row>
    <row r="398">
      <c r="F398" s="83"/>
      <c r="G398" s="84"/>
      <c r="H398" s="83"/>
      <c r="K398" s="83"/>
      <c r="P398" s="83"/>
    </row>
    <row r="399">
      <c r="F399" s="83"/>
      <c r="G399" s="84"/>
      <c r="H399" s="83"/>
      <c r="K399" s="83"/>
      <c r="P399" s="83"/>
    </row>
    <row r="400">
      <c r="F400" s="83"/>
      <c r="G400" s="84"/>
      <c r="H400" s="83"/>
      <c r="K400" s="83"/>
      <c r="P400" s="83"/>
    </row>
    <row r="401">
      <c r="F401" s="83"/>
      <c r="G401" s="84"/>
      <c r="H401" s="83"/>
      <c r="K401" s="83"/>
      <c r="P401" s="83"/>
    </row>
    <row r="402">
      <c r="F402" s="83"/>
      <c r="G402" s="84"/>
      <c r="H402" s="83"/>
      <c r="K402" s="83"/>
      <c r="P402" s="83"/>
    </row>
    <row r="403">
      <c r="F403" s="83"/>
      <c r="G403" s="84"/>
      <c r="H403" s="83"/>
      <c r="K403" s="83"/>
      <c r="P403" s="83"/>
    </row>
    <row r="404">
      <c r="F404" s="83"/>
      <c r="G404" s="84"/>
      <c r="H404" s="83"/>
      <c r="K404" s="83"/>
      <c r="P404" s="83"/>
    </row>
    <row r="405">
      <c r="F405" s="83"/>
      <c r="G405" s="84"/>
      <c r="H405" s="83"/>
      <c r="K405" s="83"/>
      <c r="P405" s="83"/>
    </row>
    <row r="406">
      <c r="F406" s="83"/>
      <c r="G406" s="84"/>
      <c r="H406" s="83"/>
      <c r="K406" s="83"/>
      <c r="P406" s="83"/>
    </row>
    <row r="407">
      <c r="F407" s="83"/>
      <c r="G407" s="84"/>
      <c r="H407" s="83"/>
      <c r="K407" s="83"/>
      <c r="P407" s="83"/>
    </row>
    <row r="408">
      <c r="F408" s="83"/>
      <c r="G408" s="84"/>
      <c r="H408" s="83"/>
      <c r="K408" s="83"/>
      <c r="P408" s="83"/>
    </row>
    <row r="409">
      <c r="F409" s="83"/>
      <c r="G409" s="84"/>
      <c r="H409" s="83"/>
      <c r="K409" s="83"/>
      <c r="P409" s="83"/>
    </row>
    <row r="410">
      <c r="F410" s="83"/>
      <c r="G410" s="84"/>
      <c r="H410" s="83"/>
      <c r="K410" s="83"/>
      <c r="P410" s="83"/>
    </row>
    <row r="411">
      <c r="F411" s="83"/>
      <c r="G411" s="84"/>
      <c r="H411" s="83"/>
      <c r="K411" s="83"/>
      <c r="P411" s="83"/>
    </row>
    <row r="412">
      <c r="F412" s="83"/>
      <c r="G412" s="84"/>
      <c r="H412" s="83"/>
      <c r="K412" s="83"/>
      <c r="P412" s="83"/>
    </row>
    <row r="413">
      <c r="F413" s="83"/>
      <c r="G413" s="84"/>
      <c r="H413" s="83"/>
      <c r="K413" s="83"/>
      <c r="P413" s="83"/>
    </row>
    <row r="414">
      <c r="F414" s="83"/>
      <c r="G414" s="84"/>
      <c r="H414" s="83"/>
      <c r="K414" s="83"/>
      <c r="P414" s="83"/>
    </row>
    <row r="415">
      <c r="F415" s="83"/>
      <c r="G415" s="84"/>
      <c r="H415" s="83"/>
      <c r="K415" s="83"/>
      <c r="P415" s="83"/>
    </row>
    <row r="416">
      <c r="F416" s="83"/>
      <c r="G416" s="84"/>
      <c r="H416" s="83"/>
      <c r="K416" s="83"/>
      <c r="P416" s="83"/>
    </row>
    <row r="417">
      <c r="F417" s="83"/>
      <c r="G417" s="84"/>
      <c r="H417" s="83"/>
      <c r="K417" s="83"/>
      <c r="P417" s="83"/>
    </row>
    <row r="418">
      <c r="F418" s="83"/>
      <c r="G418" s="84"/>
      <c r="H418" s="83"/>
      <c r="K418" s="83"/>
      <c r="P418" s="83"/>
    </row>
    <row r="419">
      <c r="F419" s="83"/>
      <c r="G419" s="84"/>
      <c r="H419" s="83"/>
      <c r="K419" s="83"/>
      <c r="P419" s="83"/>
    </row>
    <row r="420">
      <c r="F420" s="83"/>
      <c r="G420" s="84"/>
      <c r="H420" s="83"/>
      <c r="K420" s="83"/>
      <c r="P420" s="83"/>
    </row>
    <row r="421">
      <c r="F421" s="83"/>
      <c r="G421" s="84"/>
      <c r="H421" s="83"/>
      <c r="K421" s="83"/>
      <c r="P421" s="83"/>
    </row>
    <row r="422">
      <c r="F422" s="83"/>
      <c r="G422" s="84"/>
      <c r="H422" s="83"/>
      <c r="K422" s="83"/>
      <c r="P422" s="83"/>
    </row>
    <row r="423">
      <c r="F423" s="83"/>
      <c r="G423" s="84"/>
      <c r="H423" s="83"/>
      <c r="K423" s="83"/>
      <c r="P423" s="83"/>
    </row>
    <row r="424">
      <c r="F424" s="83"/>
      <c r="G424" s="84"/>
      <c r="H424" s="83"/>
      <c r="K424" s="83"/>
      <c r="P424" s="83"/>
    </row>
    <row r="425">
      <c r="F425" s="83"/>
      <c r="G425" s="84"/>
      <c r="H425" s="83"/>
      <c r="K425" s="83"/>
      <c r="P425" s="83"/>
    </row>
    <row r="426">
      <c r="F426" s="83"/>
      <c r="G426" s="84"/>
      <c r="H426" s="83"/>
      <c r="K426" s="83"/>
      <c r="P426" s="83"/>
    </row>
    <row r="427">
      <c r="F427" s="83"/>
      <c r="G427" s="84"/>
      <c r="H427" s="83"/>
      <c r="K427" s="83"/>
      <c r="P427" s="83"/>
    </row>
    <row r="428">
      <c r="F428" s="83"/>
      <c r="G428" s="84"/>
      <c r="H428" s="83"/>
      <c r="K428" s="83"/>
      <c r="P428" s="83"/>
    </row>
    <row r="429">
      <c r="F429" s="83"/>
      <c r="G429" s="84"/>
      <c r="H429" s="83"/>
      <c r="K429" s="83"/>
      <c r="P429" s="83"/>
    </row>
    <row r="430">
      <c r="F430" s="83"/>
      <c r="G430" s="84"/>
      <c r="H430" s="83"/>
      <c r="K430" s="83"/>
      <c r="P430" s="83"/>
    </row>
    <row r="431">
      <c r="F431" s="83"/>
      <c r="G431" s="84"/>
      <c r="H431" s="83"/>
      <c r="K431" s="83"/>
      <c r="P431" s="83"/>
    </row>
    <row r="432">
      <c r="F432" s="83"/>
      <c r="G432" s="84"/>
      <c r="H432" s="83"/>
      <c r="K432" s="83"/>
      <c r="P432" s="83"/>
    </row>
    <row r="433">
      <c r="F433" s="83"/>
      <c r="G433" s="84"/>
      <c r="H433" s="83"/>
      <c r="K433" s="83"/>
      <c r="P433" s="83"/>
    </row>
    <row r="434">
      <c r="F434" s="83"/>
      <c r="G434" s="84"/>
      <c r="H434" s="83"/>
      <c r="K434" s="83"/>
      <c r="P434" s="83"/>
    </row>
    <row r="435">
      <c r="F435" s="83"/>
      <c r="G435" s="84"/>
      <c r="H435" s="83"/>
      <c r="K435" s="83"/>
      <c r="P435" s="83"/>
    </row>
    <row r="436">
      <c r="F436" s="83"/>
      <c r="G436" s="84"/>
      <c r="H436" s="83"/>
      <c r="K436" s="83"/>
      <c r="P436" s="83"/>
    </row>
    <row r="437">
      <c r="F437" s="83"/>
      <c r="G437" s="84"/>
      <c r="H437" s="83"/>
      <c r="K437" s="83"/>
      <c r="P437" s="83"/>
    </row>
    <row r="438">
      <c r="F438" s="83"/>
      <c r="G438" s="84"/>
      <c r="H438" s="83"/>
      <c r="K438" s="83"/>
      <c r="P438" s="83"/>
    </row>
    <row r="439">
      <c r="F439" s="83"/>
      <c r="G439" s="84"/>
      <c r="H439" s="83"/>
      <c r="K439" s="83"/>
      <c r="P439" s="83"/>
    </row>
    <row r="440">
      <c r="F440" s="83"/>
      <c r="G440" s="84"/>
      <c r="H440" s="83"/>
      <c r="K440" s="83"/>
      <c r="P440" s="83"/>
    </row>
    <row r="441">
      <c r="F441" s="83"/>
      <c r="G441" s="84"/>
      <c r="H441" s="83"/>
      <c r="K441" s="83"/>
      <c r="P441" s="83"/>
    </row>
    <row r="442">
      <c r="F442" s="83"/>
      <c r="G442" s="84"/>
      <c r="H442" s="83"/>
      <c r="K442" s="83"/>
      <c r="P442" s="83"/>
    </row>
    <row r="443">
      <c r="F443" s="83"/>
      <c r="G443" s="84"/>
      <c r="H443" s="83"/>
      <c r="K443" s="83"/>
      <c r="P443" s="83"/>
    </row>
    <row r="444">
      <c r="F444" s="83"/>
      <c r="G444" s="84"/>
      <c r="H444" s="83"/>
      <c r="K444" s="83"/>
      <c r="P444" s="83"/>
    </row>
    <row r="445">
      <c r="F445" s="83"/>
      <c r="G445" s="84"/>
      <c r="H445" s="83"/>
      <c r="K445" s="83"/>
      <c r="P445" s="83"/>
    </row>
    <row r="446">
      <c r="F446" s="83"/>
      <c r="G446" s="84"/>
      <c r="H446" s="83"/>
      <c r="K446" s="83"/>
      <c r="P446" s="83"/>
    </row>
    <row r="447">
      <c r="F447" s="83"/>
      <c r="G447" s="84"/>
      <c r="H447" s="83"/>
      <c r="K447" s="83"/>
      <c r="P447" s="83"/>
    </row>
    <row r="448">
      <c r="F448" s="83"/>
      <c r="G448" s="84"/>
      <c r="H448" s="83"/>
      <c r="K448" s="83"/>
      <c r="P448" s="83"/>
    </row>
    <row r="449">
      <c r="F449" s="83"/>
      <c r="G449" s="84"/>
      <c r="H449" s="83"/>
      <c r="K449" s="83"/>
      <c r="P449" s="83"/>
    </row>
    <row r="450">
      <c r="F450" s="83"/>
      <c r="G450" s="84"/>
      <c r="H450" s="83"/>
      <c r="K450" s="83"/>
      <c r="P450" s="83"/>
    </row>
    <row r="451">
      <c r="F451" s="83"/>
      <c r="G451" s="84"/>
      <c r="H451" s="83"/>
      <c r="K451" s="83"/>
      <c r="P451" s="83"/>
    </row>
    <row r="452">
      <c r="F452" s="83"/>
      <c r="G452" s="84"/>
      <c r="H452" s="83"/>
      <c r="K452" s="83"/>
      <c r="P452" s="83"/>
    </row>
    <row r="453">
      <c r="F453" s="83"/>
      <c r="G453" s="84"/>
      <c r="H453" s="83"/>
      <c r="K453" s="83"/>
      <c r="P453" s="83"/>
    </row>
    <row r="454">
      <c r="F454" s="83"/>
      <c r="G454" s="84"/>
      <c r="H454" s="83"/>
      <c r="K454" s="83"/>
      <c r="P454" s="83"/>
    </row>
    <row r="455">
      <c r="F455" s="83"/>
      <c r="G455" s="84"/>
      <c r="H455" s="83"/>
      <c r="K455" s="83"/>
      <c r="P455" s="83"/>
    </row>
    <row r="456">
      <c r="F456" s="83"/>
      <c r="G456" s="84"/>
      <c r="H456" s="83"/>
      <c r="K456" s="83"/>
      <c r="P456" s="83"/>
    </row>
    <row r="457">
      <c r="F457" s="83"/>
      <c r="G457" s="84"/>
      <c r="H457" s="83"/>
      <c r="K457" s="83"/>
      <c r="P457" s="83"/>
    </row>
    <row r="458">
      <c r="F458" s="83"/>
      <c r="G458" s="84"/>
      <c r="H458" s="83"/>
      <c r="K458" s="83"/>
      <c r="P458" s="83"/>
    </row>
    <row r="459">
      <c r="F459" s="83"/>
      <c r="G459" s="84"/>
      <c r="H459" s="83"/>
      <c r="K459" s="83"/>
      <c r="P459" s="83"/>
    </row>
    <row r="460">
      <c r="F460" s="83"/>
      <c r="G460" s="84"/>
      <c r="H460" s="83"/>
      <c r="K460" s="83"/>
      <c r="P460" s="83"/>
    </row>
    <row r="461">
      <c r="F461" s="83"/>
      <c r="G461" s="84"/>
      <c r="H461" s="83"/>
      <c r="K461" s="83"/>
      <c r="P461" s="83"/>
    </row>
    <row r="462">
      <c r="F462" s="83"/>
      <c r="G462" s="84"/>
      <c r="H462" s="83"/>
      <c r="K462" s="83"/>
      <c r="P462" s="83"/>
    </row>
    <row r="463">
      <c r="F463" s="83"/>
      <c r="G463" s="84"/>
      <c r="H463" s="83"/>
      <c r="K463" s="83"/>
      <c r="P463" s="83"/>
    </row>
    <row r="464">
      <c r="F464" s="83"/>
      <c r="G464" s="84"/>
      <c r="H464" s="83"/>
      <c r="K464" s="83"/>
      <c r="P464" s="83"/>
    </row>
    <row r="465">
      <c r="F465" s="83"/>
      <c r="G465" s="84"/>
      <c r="H465" s="83"/>
      <c r="K465" s="83"/>
      <c r="P465" s="83"/>
    </row>
    <row r="466">
      <c r="F466" s="83"/>
      <c r="G466" s="84"/>
      <c r="H466" s="83"/>
      <c r="K466" s="83"/>
      <c r="P466" s="83"/>
    </row>
    <row r="467">
      <c r="F467" s="83"/>
      <c r="G467" s="84"/>
      <c r="H467" s="83"/>
      <c r="K467" s="83"/>
      <c r="P467" s="83"/>
    </row>
    <row r="468">
      <c r="F468" s="83"/>
      <c r="G468" s="84"/>
      <c r="H468" s="83"/>
      <c r="K468" s="83"/>
      <c r="P468" s="83"/>
    </row>
    <row r="469">
      <c r="F469" s="83"/>
      <c r="G469" s="84"/>
      <c r="H469" s="83"/>
      <c r="K469" s="83"/>
      <c r="P469" s="83"/>
    </row>
    <row r="470">
      <c r="F470" s="83"/>
      <c r="G470" s="84"/>
      <c r="H470" s="83"/>
      <c r="K470" s="83"/>
      <c r="P470" s="83"/>
    </row>
    <row r="471">
      <c r="F471" s="83"/>
      <c r="G471" s="84"/>
      <c r="H471" s="83"/>
      <c r="K471" s="83"/>
      <c r="P471" s="83"/>
    </row>
    <row r="472">
      <c r="F472" s="83"/>
      <c r="G472" s="84"/>
      <c r="H472" s="83"/>
      <c r="K472" s="83"/>
      <c r="P472" s="83"/>
    </row>
    <row r="473">
      <c r="F473" s="83"/>
      <c r="G473" s="84"/>
      <c r="H473" s="83"/>
      <c r="K473" s="83"/>
      <c r="P473" s="83"/>
    </row>
    <row r="474">
      <c r="F474" s="83"/>
      <c r="G474" s="84"/>
      <c r="H474" s="83"/>
      <c r="K474" s="83"/>
      <c r="P474" s="83"/>
    </row>
    <row r="475">
      <c r="F475" s="83"/>
      <c r="G475" s="84"/>
      <c r="H475" s="83"/>
      <c r="K475" s="83"/>
      <c r="P475" s="83"/>
    </row>
    <row r="476">
      <c r="F476" s="83"/>
      <c r="G476" s="84"/>
      <c r="H476" s="83"/>
      <c r="K476" s="83"/>
      <c r="P476" s="83"/>
    </row>
    <row r="477">
      <c r="F477" s="83"/>
      <c r="G477" s="84"/>
      <c r="H477" s="83"/>
      <c r="K477" s="83"/>
      <c r="P477" s="83"/>
    </row>
    <row r="478">
      <c r="F478" s="83"/>
      <c r="G478" s="84"/>
      <c r="H478" s="83"/>
      <c r="K478" s="83"/>
      <c r="P478" s="83"/>
    </row>
    <row r="479">
      <c r="F479" s="83"/>
      <c r="G479" s="84"/>
      <c r="H479" s="83"/>
      <c r="K479" s="83"/>
      <c r="P479" s="83"/>
    </row>
    <row r="480">
      <c r="F480" s="83"/>
      <c r="G480" s="84"/>
      <c r="H480" s="83"/>
      <c r="K480" s="83"/>
      <c r="P480" s="83"/>
    </row>
    <row r="481">
      <c r="F481" s="83"/>
      <c r="G481" s="84"/>
      <c r="H481" s="83"/>
      <c r="K481" s="83"/>
      <c r="P481" s="83"/>
    </row>
    <row r="482">
      <c r="F482" s="83"/>
      <c r="G482" s="84"/>
      <c r="H482" s="83"/>
      <c r="K482" s="83"/>
      <c r="P482" s="83"/>
    </row>
    <row r="483">
      <c r="F483" s="83"/>
      <c r="G483" s="84"/>
      <c r="H483" s="83"/>
      <c r="K483" s="83"/>
      <c r="P483" s="83"/>
    </row>
    <row r="484">
      <c r="F484" s="83"/>
      <c r="G484" s="84"/>
      <c r="H484" s="83"/>
      <c r="K484" s="83"/>
      <c r="P484" s="83"/>
    </row>
    <row r="485">
      <c r="F485" s="83"/>
      <c r="G485" s="84"/>
      <c r="H485" s="83"/>
      <c r="K485" s="83"/>
      <c r="P485" s="83"/>
    </row>
    <row r="486">
      <c r="F486" s="83"/>
      <c r="G486" s="84"/>
      <c r="H486" s="83"/>
      <c r="K486" s="83"/>
      <c r="P486" s="83"/>
    </row>
    <row r="487">
      <c r="F487" s="83"/>
      <c r="G487" s="84"/>
      <c r="H487" s="83"/>
      <c r="K487" s="83"/>
      <c r="P487" s="83"/>
    </row>
    <row r="488">
      <c r="F488" s="83"/>
      <c r="G488" s="84"/>
      <c r="H488" s="83"/>
      <c r="K488" s="83"/>
      <c r="P488" s="83"/>
    </row>
    <row r="489">
      <c r="F489" s="83"/>
      <c r="G489" s="84"/>
      <c r="H489" s="83"/>
      <c r="K489" s="83"/>
      <c r="P489" s="83"/>
    </row>
    <row r="490">
      <c r="F490" s="83"/>
      <c r="G490" s="84"/>
      <c r="H490" s="83"/>
      <c r="K490" s="83"/>
      <c r="P490" s="83"/>
    </row>
    <row r="491">
      <c r="F491" s="83"/>
      <c r="G491" s="84"/>
      <c r="H491" s="83"/>
      <c r="K491" s="83"/>
      <c r="P491" s="83"/>
    </row>
    <row r="492">
      <c r="F492" s="83"/>
      <c r="G492" s="84"/>
      <c r="H492" s="83"/>
      <c r="K492" s="83"/>
      <c r="P492" s="83"/>
    </row>
    <row r="493">
      <c r="F493" s="83"/>
      <c r="G493" s="84"/>
      <c r="H493" s="83"/>
      <c r="K493" s="83"/>
      <c r="P493" s="83"/>
    </row>
    <row r="494">
      <c r="F494" s="83"/>
      <c r="G494" s="84"/>
      <c r="H494" s="83"/>
      <c r="K494" s="83"/>
      <c r="P494" s="83"/>
    </row>
    <row r="495">
      <c r="F495" s="83"/>
      <c r="G495" s="84"/>
      <c r="H495" s="83"/>
      <c r="K495" s="83"/>
      <c r="P495" s="83"/>
    </row>
    <row r="496">
      <c r="F496" s="83"/>
      <c r="G496" s="84"/>
      <c r="H496" s="83"/>
      <c r="K496" s="83"/>
      <c r="P496" s="83"/>
    </row>
    <row r="497">
      <c r="F497" s="83"/>
      <c r="G497" s="84"/>
      <c r="H497" s="83"/>
      <c r="K497" s="83"/>
      <c r="P497" s="83"/>
    </row>
    <row r="498">
      <c r="F498" s="83"/>
      <c r="G498" s="84"/>
      <c r="H498" s="83"/>
      <c r="K498" s="83"/>
      <c r="P498" s="83"/>
    </row>
    <row r="499">
      <c r="F499" s="83"/>
      <c r="G499" s="84"/>
      <c r="H499" s="83"/>
      <c r="K499" s="83"/>
      <c r="P499" s="83"/>
    </row>
    <row r="500">
      <c r="F500" s="83"/>
      <c r="G500" s="84"/>
      <c r="H500" s="83"/>
      <c r="K500" s="83"/>
      <c r="P500" s="83"/>
    </row>
    <row r="501">
      <c r="F501" s="83"/>
      <c r="G501" s="84"/>
      <c r="H501" s="83"/>
      <c r="K501" s="83"/>
      <c r="P501" s="83"/>
    </row>
    <row r="502">
      <c r="F502" s="83"/>
      <c r="G502" s="84"/>
      <c r="H502" s="83"/>
      <c r="K502" s="83"/>
      <c r="P502" s="83"/>
    </row>
    <row r="503">
      <c r="F503" s="83"/>
      <c r="G503" s="84"/>
      <c r="H503" s="83"/>
      <c r="K503" s="83"/>
      <c r="P503" s="83"/>
    </row>
    <row r="504">
      <c r="F504" s="83"/>
      <c r="G504" s="84"/>
      <c r="H504" s="83"/>
      <c r="K504" s="83"/>
      <c r="P504" s="83"/>
    </row>
    <row r="505">
      <c r="F505" s="83"/>
      <c r="G505" s="84"/>
      <c r="H505" s="83"/>
      <c r="K505" s="83"/>
      <c r="P505" s="83"/>
    </row>
    <row r="506">
      <c r="F506" s="83"/>
      <c r="G506" s="84"/>
      <c r="H506" s="83"/>
      <c r="K506" s="83"/>
      <c r="P506" s="83"/>
    </row>
    <row r="507">
      <c r="F507" s="83"/>
      <c r="G507" s="84"/>
      <c r="H507" s="83"/>
      <c r="K507" s="83"/>
      <c r="P507" s="83"/>
    </row>
    <row r="508">
      <c r="F508" s="83"/>
      <c r="G508" s="84"/>
      <c r="H508" s="83"/>
      <c r="K508" s="83"/>
      <c r="P508" s="83"/>
    </row>
    <row r="509">
      <c r="F509" s="83"/>
      <c r="G509" s="84"/>
      <c r="H509" s="83"/>
      <c r="K509" s="83"/>
      <c r="P509" s="83"/>
    </row>
    <row r="510">
      <c r="F510" s="83"/>
      <c r="G510" s="84"/>
      <c r="H510" s="83"/>
      <c r="K510" s="83"/>
      <c r="P510" s="83"/>
    </row>
    <row r="511">
      <c r="F511" s="83"/>
      <c r="G511" s="84"/>
      <c r="H511" s="83"/>
      <c r="K511" s="83"/>
      <c r="P511" s="83"/>
    </row>
    <row r="512">
      <c r="F512" s="83"/>
      <c r="G512" s="84"/>
      <c r="H512" s="83"/>
      <c r="K512" s="83"/>
      <c r="P512" s="83"/>
    </row>
    <row r="513">
      <c r="F513" s="83"/>
      <c r="G513" s="84"/>
      <c r="H513" s="83"/>
      <c r="K513" s="83"/>
      <c r="P513" s="83"/>
    </row>
    <row r="514">
      <c r="F514" s="83"/>
      <c r="G514" s="84"/>
      <c r="H514" s="83"/>
      <c r="K514" s="83"/>
      <c r="P514" s="83"/>
    </row>
    <row r="515">
      <c r="F515" s="83"/>
      <c r="G515" s="84"/>
      <c r="H515" s="83"/>
      <c r="K515" s="83"/>
      <c r="P515" s="83"/>
    </row>
    <row r="516">
      <c r="F516" s="83"/>
      <c r="G516" s="84"/>
      <c r="H516" s="83"/>
      <c r="K516" s="83"/>
      <c r="P516" s="83"/>
    </row>
    <row r="517">
      <c r="F517" s="83"/>
      <c r="G517" s="84"/>
      <c r="H517" s="83"/>
      <c r="K517" s="83"/>
      <c r="P517" s="83"/>
    </row>
    <row r="518">
      <c r="F518" s="83"/>
      <c r="G518" s="84"/>
      <c r="H518" s="83"/>
      <c r="K518" s="83"/>
      <c r="P518" s="83"/>
    </row>
    <row r="519">
      <c r="F519" s="83"/>
      <c r="G519" s="84"/>
      <c r="H519" s="83"/>
      <c r="K519" s="83"/>
      <c r="P519" s="83"/>
    </row>
    <row r="520">
      <c r="F520" s="83"/>
      <c r="G520" s="84"/>
      <c r="H520" s="83"/>
      <c r="K520" s="83"/>
      <c r="P520" s="83"/>
    </row>
    <row r="521">
      <c r="F521" s="83"/>
      <c r="G521" s="84"/>
      <c r="H521" s="83"/>
      <c r="K521" s="83"/>
      <c r="P521" s="83"/>
    </row>
    <row r="522">
      <c r="F522" s="83"/>
      <c r="G522" s="84"/>
      <c r="H522" s="83"/>
      <c r="K522" s="83"/>
      <c r="P522" s="83"/>
    </row>
    <row r="523">
      <c r="F523" s="83"/>
      <c r="G523" s="84"/>
      <c r="H523" s="83"/>
      <c r="K523" s="83"/>
      <c r="P523" s="83"/>
    </row>
    <row r="524">
      <c r="F524" s="83"/>
      <c r="G524" s="84"/>
      <c r="H524" s="83"/>
      <c r="K524" s="83"/>
      <c r="P524" s="83"/>
    </row>
    <row r="525">
      <c r="F525" s="83"/>
      <c r="G525" s="84"/>
      <c r="H525" s="83"/>
      <c r="K525" s="83"/>
      <c r="P525" s="83"/>
    </row>
    <row r="526">
      <c r="F526" s="83"/>
      <c r="G526" s="84"/>
      <c r="H526" s="83"/>
      <c r="K526" s="83"/>
      <c r="P526" s="83"/>
    </row>
    <row r="527">
      <c r="F527" s="83"/>
      <c r="G527" s="84"/>
      <c r="H527" s="83"/>
      <c r="K527" s="83"/>
      <c r="P527" s="83"/>
    </row>
    <row r="528">
      <c r="F528" s="83"/>
      <c r="G528" s="84"/>
      <c r="H528" s="83"/>
      <c r="K528" s="83"/>
      <c r="P528" s="83"/>
    </row>
    <row r="529">
      <c r="F529" s="83"/>
      <c r="G529" s="84"/>
      <c r="H529" s="83"/>
      <c r="K529" s="83"/>
      <c r="P529" s="83"/>
    </row>
    <row r="530">
      <c r="F530" s="83"/>
      <c r="G530" s="84"/>
      <c r="H530" s="83"/>
      <c r="K530" s="83"/>
      <c r="P530" s="83"/>
    </row>
    <row r="531">
      <c r="F531" s="83"/>
      <c r="G531" s="84"/>
      <c r="H531" s="83"/>
      <c r="K531" s="83"/>
      <c r="P531" s="83"/>
    </row>
    <row r="532">
      <c r="F532" s="83"/>
      <c r="G532" s="84"/>
      <c r="H532" s="83"/>
      <c r="K532" s="83"/>
      <c r="P532" s="83"/>
    </row>
    <row r="533">
      <c r="F533" s="83"/>
      <c r="G533" s="84"/>
      <c r="H533" s="83"/>
      <c r="K533" s="83"/>
      <c r="P533" s="83"/>
    </row>
    <row r="534">
      <c r="F534" s="83"/>
      <c r="G534" s="84"/>
      <c r="H534" s="83"/>
      <c r="K534" s="83"/>
      <c r="P534" s="83"/>
    </row>
    <row r="535">
      <c r="F535" s="83"/>
      <c r="G535" s="84"/>
      <c r="H535" s="83"/>
      <c r="K535" s="83"/>
      <c r="P535" s="83"/>
    </row>
    <row r="536">
      <c r="F536" s="83"/>
      <c r="G536" s="84"/>
      <c r="H536" s="83"/>
      <c r="K536" s="83"/>
      <c r="P536" s="83"/>
    </row>
    <row r="537">
      <c r="F537" s="83"/>
      <c r="G537" s="84"/>
      <c r="H537" s="83"/>
      <c r="K537" s="83"/>
      <c r="P537" s="83"/>
    </row>
    <row r="538">
      <c r="F538" s="83"/>
      <c r="G538" s="84"/>
      <c r="H538" s="83"/>
      <c r="K538" s="83"/>
      <c r="P538" s="83"/>
    </row>
    <row r="539">
      <c r="F539" s="83"/>
      <c r="G539" s="84"/>
      <c r="H539" s="83"/>
      <c r="K539" s="83"/>
      <c r="P539" s="83"/>
    </row>
    <row r="540">
      <c r="F540" s="83"/>
      <c r="G540" s="84"/>
      <c r="H540" s="83"/>
      <c r="K540" s="83"/>
      <c r="P540" s="83"/>
    </row>
    <row r="541">
      <c r="F541" s="83"/>
      <c r="G541" s="84"/>
      <c r="H541" s="83"/>
      <c r="K541" s="83"/>
      <c r="P541" s="83"/>
    </row>
    <row r="542">
      <c r="F542" s="83"/>
      <c r="G542" s="84"/>
      <c r="H542" s="83"/>
      <c r="K542" s="83"/>
      <c r="P542" s="83"/>
    </row>
    <row r="543">
      <c r="F543" s="83"/>
      <c r="G543" s="84"/>
      <c r="H543" s="83"/>
      <c r="K543" s="83"/>
      <c r="P543" s="83"/>
    </row>
    <row r="544">
      <c r="F544" s="83"/>
      <c r="G544" s="84"/>
      <c r="H544" s="83"/>
      <c r="K544" s="83"/>
      <c r="P544" s="83"/>
    </row>
    <row r="545">
      <c r="F545" s="83"/>
      <c r="G545" s="84"/>
      <c r="H545" s="83"/>
      <c r="K545" s="83"/>
      <c r="P545" s="83"/>
    </row>
    <row r="546">
      <c r="F546" s="83"/>
      <c r="G546" s="84"/>
      <c r="H546" s="83"/>
      <c r="K546" s="83"/>
      <c r="P546" s="83"/>
    </row>
    <row r="547">
      <c r="F547" s="83"/>
      <c r="G547" s="84"/>
      <c r="H547" s="83"/>
      <c r="K547" s="83"/>
      <c r="P547" s="83"/>
    </row>
    <row r="548">
      <c r="F548" s="83"/>
      <c r="G548" s="84"/>
      <c r="H548" s="83"/>
      <c r="K548" s="83"/>
      <c r="P548" s="83"/>
    </row>
    <row r="549">
      <c r="F549" s="83"/>
      <c r="G549" s="84"/>
      <c r="H549" s="83"/>
      <c r="K549" s="83"/>
      <c r="P549" s="83"/>
    </row>
    <row r="550">
      <c r="F550" s="83"/>
      <c r="G550" s="84"/>
      <c r="H550" s="83"/>
      <c r="K550" s="83"/>
      <c r="P550" s="83"/>
    </row>
    <row r="551">
      <c r="F551" s="83"/>
      <c r="G551" s="84"/>
      <c r="H551" s="83"/>
      <c r="K551" s="83"/>
      <c r="P551" s="83"/>
    </row>
    <row r="552">
      <c r="F552" s="83"/>
      <c r="G552" s="84"/>
      <c r="H552" s="83"/>
      <c r="K552" s="83"/>
      <c r="P552" s="83"/>
    </row>
    <row r="553">
      <c r="F553" s="83"/>
      <c r="G553" s="84"/>
      <c r="H553" s="83"/>
      <c r="K553" s="83"/>
      <c r="P553" s="83"/>
    </row>
    <row r="554">
      <c r="F554" s="83"/>
      <c r="G554" s="84"/>
      <c r="H554" s="83"/>
      <c r="K554" s="83"/>
      <c r="P554" s="83"/>
    </row>
    <row r="555">
      <c r="F555" s="83"/>
      <c r="G555" s="84"/>
      <c r="H555" s="83"/>
      <c r="K555" s="83"/>
      <c r="P555" s="83"/>
    </row>
    <row r="556">
      <c r="F556" s="83"/>
      <c r="G556" s="84"/>
      <c r="H556" s="83"/>
      <c r="K556" s="83"/>
      <c r="P556" s="83"/>
    </row>
    <row r="557">
      <c r="F557" s="83"/>
      <c r="G557" s="84"/>
      <c r="H557" s="83"/>
      <c r="K557" s="83"/>
      <c r="P557" s="83"/>
    </row>
    <row r="558">
      <c r="F558" s="83"/>
      <c r="G558" s="84"/>
      <c r="H558" s="83"/>
      <c r="K558" s="83"/>
      <c r="P558" s="83"/>
    </row>
    <row r="559">
      <c r="F559" s="83"/>
      <c r="G559" s="84"/>
      <c r="H559" s="83"/>
      <c r="K559" s="83"/>
      <c r="P559" s="83"/>
    </row>
    <row r="560">
      <c r="F560" s="83"/>
      <c r="G560" s="84"/>
      <c r="H560" s="83"/>
      <c r="K560" s="83"/>
      <c r="P560" s="83"/>
    </row>
    <row r="561">
      <c r="F561" s="83"/>
      <c r="G561" s="84"/>
      <c r="H561" s="83"/>
      <c r="K561" s="83"/>
      <c r="P561" s="83"/>
    </row>
    <row r="562">
      <c r="F562" s="83"/>
      <c r="G562" s="84"/>
      <c r="H562" s="83"/>
      <c r="K562" s="83"/>
      <c r="P562" s="83"/>
    </row>
    <row r="563">
      <c r="F563" s="83"/>
      <c r="G563" s="84"/>
      <c r="H563" s="83"/>
      <c r="K563" s="83"/>
      <c r="P563" s="83"/>
    </row>
    <row r="564">
      <c r="F564" s="83"/>
      <c r="G564" s="84"/>
      <c r="H564" s="83"/>
      <c r="K564" s="83"/>
      <c r="P564" s="83"/>
    </row>
    <row r="565">
      <c r="F565" s="83"/>
      <c r="G565" s="84"/>
      <c r="H565" s="83"/>
      <c r="K565" s="83"/>
      <c r="P565" s="83"/>
    </row>
    <row r="566">
      <c r="F566" s="83"/>
      <c r="G566" s="84"/>
      <c r="H566" s="83"/>
      <c r="K566" s="83"/>
      <c r="P566" s="83"/>
    </row>
    <row r="567">
      <c r="F567" s="83"/>
      <c r="G567" s="84"/>
      <c r="H567" s="83"/>
      <c r="K567" s="83"/>
      <c r="P567" s="83"/>
    </row>
    <row r="568">
      <c r="F568" s="83"/>
      <c r="G568" s="84"/>
      <c r="H568" s="83"/>
      <c r="K568" s="83"/>
      <c r="P568" s="83"/>
    </row>
    <row r="569">
      <c r="F569" s="83"/>
      <c r="G569" s="84"/>
      <c r="H569" s="83"/>
      <c r="K569" s="83"/>
      <c r="P569" s="83"/>
    </row>
    <row r="570">
      <c r="F570" s="83"/>
      <c r="G570" s="84"/>
      <c r="H570" s="83"/>
      <c r="K570" s="83"/>
      <c r="P570" s="83"/>
    </row>
    <row r="571">
      <c r="F571" s="83"/>
      <c r="G571" s="84"/>
      <c r="H571" s="83"/>
      <c r="K571" s="83"/>
      <c r="P571" s="83"/>
    </row>
    <row r="572">
      <c r="F572" s="83"/>
      <c r="G572" s="84"/>
      <c r="H572" s="83"/>
      <c r="K572" s="83"/>
      <c r="P572" s="83"/>
    </row>
    <row r="573">
      <c r="F573" s="83"/>
      <c r="G573" s="84"/>
      <c r="H573" s="83"/>
      <c r="K573" s="83"/>
      <c r="P573" s="83"/>
    </row>
    <row r="574">
      <c r="F574" s="83"/>
      <c r="G574" s="84"/>
      <c r="H574" s="83"/>
      <c r="K574" s="83"/>
      <c r="P574" s="83"/>
    </row>
    <row r="575">
      <c r="F575" s="83"/>
      <c r="G575" s="84"/>
      <c r="H575" s="83"/>
      <c r="K575" s="83"/>
      <c r="P575" s="83"/>
    </row>
    <row r="576">
      <c r="F576" s="83"/>
      <c r="G576" s="84"/>
      <c r="H576" s="83"/>
      <c r="K576" s="83"/>
      <c r="P576" s="83"/>
    </row>
    <row r="577">
      <c r="F577" s="83"/>
      <c r="G577" s="84"/>
      <c r="H577" s="83"/>
      <c r="K577" s="83"/>
      <c r="P577" s="83"/>
    </row>
    <row r="578">
      <c r="F578" s="83"/>
      <c r="G578" s="84"/>
      <c r="H578" s="83"/>
      <c r="K578" s="83"/>
      <c r="P578" s="83"/>
    </row>
    <row r="579">
      <c r="F579" s="83"/>
      <c r="G579" s="84"/>
      <c r="H579" s="83"/>
      <c r="K579" s="83"/>
      <c r="P579" s="83"/>
    </row>
    <row r="580">
      <c r="F580" s="83"/>
      <c r="G580" s="84"/>
      <c r="H580" s="83"/>
      <c r="K580" s="83"/>
      <c r="P580" s="83"/>
    </row>
    <row r="581">
      <c r="F581" s="83"/>
      <c r="G581" s="84"/>
      <c r="H581" s="83"/>
      <c r="K581" s="83"/>
      <c r="P581" s="83"/>
    </row>
    <row r="582">
      <c r="F582" s="83"/>
      <c r="G582" s="84"/>
      <c r="H582" s="83"/>
      <c r="K582" s="83"/>
      <c r="P582" s="83"/>
    </row>
    <row r="583">
      <c r="F583" s="83"/>
      <c r="G583" s="84"/>
      <c r="H583" s="83"/>
      <c r="K583" s="83"/>
      <c r="P583" s="83"/>
    </row>
    <row r="584">
      <c r="F584" s="83"/>
      <c r="G584" s="84"/>
      <c r="H584" s="83"/>
      <c r="K584" s="83"/>
      <c r="P584" s="83"/>
    </row>
    <row r="585">
      <c r="F585" s="83"/>
      <c r="G585" s="84"/>
      <c r="H585" s="83"/>
      <c r="K585" s="83"/>
      <c r="P585" s="83"/>
    </row>
    <row r="586">
      <c r="F586" s="83"/>
      <c r="G586" s="84"/>
      <c r="H586" s="83"/>
      <c r="K586" s="83"/>
      <c r="P586" s="83"/>
    </row>
    <row r="587">
      <c r="F587" s="83"/>
      <c r="G587" s="84"/>
      <c r="H587" s="83"/>
      <c r="K587" s="83"/>
      <c r="P587" s="83"/>
    </row>
    <row r="588">
      <c r="F588" s="83"/>
      <c r="G588" s="84"/>
      <c r="H588" s="83"/>
      <c r="K588" s="83"/>
      <c r="P588" s="83"/>
    </row>
    <row r="589">
      <c r="F589" s="83"/>
      <c r="G589" s="84"/>
      <c r="H589" s="83"/>
      <c r="K589" s="83"/>
      <c r="P589" s="83"/>
    </row>
    <row r="590">
      <c r="F590" s="83"/>
      <c r="G590" s="84"/>
      <c r="H590" s="83"/>
      <c r="K590" s="83"/>
      <c r="P590" s="83"/>
    </row>
    <row r="591">
      <c r="F591" s="83"/>
      <c r="G591" s="84"/>
      <c r="H591" s="83"/>
      <c r="K591" s="83"/>
      <c r="P591" s="83"/>
    </row>
    <row r="592">
      <c r="F592" s="83"/>
      <c r="G592" s="84"/>
      <c r="H592" s="83"/>
      <c r="K592" s="83"/>
      <c r="P592" s="83"/>
    </row>
    <row r="593">
      <c r="F593" s="83"/>
      <c r="G593" s="84"/>
      <c r="H593" s="83"/>
      <c r="K593" s="83"/>
      <c r="P593" s="83"/>
    </row>
    <row r="594">
      <c r="F594" s="83"/>
      <c r="G594" s="84"/>
      <c r="H594" s="83"/>
      <c r="K594" s="83"/>
      <c r="P594" s="83"/>
    </row>
    <row r="595">
      <c r="F595" s="83"/>
      <c r="G595" s="84"/>
      <c r="H595" s="83"/>
      <c r="K595" s="83"/>
      <c r="P595" s="83"/>
    </row>
    <row r="596">
      <c r="F596" s="83"/>
      <c r="G596" s="84"/>
      <c r="H596" s="83"/>
      <c r="K596" s="83"/>
      <c r="P596" s="83"/>
    </row>
    <row r="597">
      <c r="F597" s="83"/>
      <c r="G597" s="84"/>
      <c r="H597" s="83"/>
      <c r="K597" s="83"/>
      <c r="P597" s="83"/>
    </row>
    <row r="598">
      <c r="F598" s="83"/>
      <c r="G598" s="84"/>
      <c r="H598" s="83"/>
      <c r="K598" s="83"/>
      <c r="P598" s="83"/>
    </row>
    <row r="599">
      <c r="F599" s="83"/>
      <c r="G599" s="84"/>
      <c r="H599" s="83"/>
      <c r="K599" s="83"/>
      <c r="P599" s="83"/>
    </row>
    <row r="600">
      <c r="F600" s="83"/>
      <c r="G600" s="84"/>
      <c r="H600" s="83"/>
      <c r="K600" s="83"/>
      <c r="P600" s="83"/>
    </row>
    <row r="601">
      <c r="F601" s="83"/>
      <c r="G601" s="84"/>
      <c r="H601" s="83"/>
      <c r="K601" s="83"/>
      <c r="P601" s="83"/>
    </row>
    <row r="602">
      <c r="F602" s="83"/>
      <c r="G602" s="84"/>
      <c r="H602" s="83"/>
      <c r="K602" s="83"/>
      <c r="P602" s="83"/>
    </row>
    <row r="603">
      <c r="F603" s="83"/>
      <c r="G603" s="84"/>
      <c r="H603" s="83"/>
      <c r="K603" s="83"/>
      <c r="P603" s="83"/>
    </row>
    <row r="604">
      <c r="F604" s="83"/>
      <c r="G604" s="84"/>
      <c r="H604" s="83"/>
      <c r="K604" s="83"/>
      <c r="P604" s="83"/>
    </row>
    <row r="605">
      <c r="F605" s="83"/>
      <c r="G605" s="84"/>
      <c r="H605" s="83"/>
      <c r="K605" s="83"/>
      <c r="P605" s="83"/>
    </row>
    <row r="606">
      <c r="F606" s="83"/>
      <c r="G606" s="84"/>
      <c r="H606" s="83"/>
      <c r="K606" s="83"/>
      <c r="P606" s="83"/>
    </row>
    <row r="607">
      <c r="F607" s="83"/>
      <c r="G607" s="84"/>
      <c r="H607" s="83"/>
      <c r="K607" s="83"/>
      <c r="P607" s="83"/>
    </row>
    <row r="608">
      <c r="F608" s="83"/>
      <c r="G608" s="84"/>
      <c r="H608" s="83"/>
      <c r="K608" s="83"/>
      <c r="P608" s="83"/>
    </row>
    <row r="609">
      <c r="F609" s="83"/>
      <c r="G609" s="84"/>
      <c r="H609" s="83"/>
      <c r="K609" s="83"/>
      <c r="P609" s="83"/>
    </row>
    <row r="610">
      <c r="F610" s="83"/>
      <c r="G610" s="84"/>
      <c r="H610" s="83"/>
      <c r="K610" s="83"/>
      <c r="P610" s="83"/>
    </row>
    <row r="611">
      <c r="F611" s="83"/>
      <c r="G611" s="84"/>
      <c r="H611" s="83"/>
      <c r="K611" s="83"/>
      <c r="P611" s="83"/>
    </row>
    <row r="612">
      <c r="F612" s="83"/>
      <c r="G612" s="84"/>
      <c r="H612" s="83"/>
      <c r="K612" s="83"/>
      <c r="P612" s="83"/>
    </row>
    <row r="613">
      <c r="F613" s="83"/>
      <c r="G613" s="84"/>
      <c r="H613" s="83"/>
      <c r="K613" s="83"/>
      <c r="P613" s="83"/>
    </row>
    <row r="614">
      <c r="F614" s="83"/>
      <c r="G614" s="84"/>
      <c r="H614" s="83"/>
      <c r="K614" s="83"/>
      <c r="P614" s="83"/>
    </row>
    <row r="615">
      <c r="F615" s="83"/>
      <c r="G615" s="84"/>
      <c r="H615" s="83"/>
      <c r="K615" s="83"/>
      <c r="P615" s="83"/>
    </row>
    <row r="616">
      <c r="F616" s="83"/>
      <c r="G616" s="84"/>
      <c r="H616" s="83"/>
      <c r="K616" s="83"/>
      <c r="P616" s="83"/>
    </row>
    <row r="617">
      <c r="F617" s="83"/>
      <c r="G617" s="84"/>
      <c r="H617" s="83"/>
      <c r="K617" s="83"/>
      <c r="P617" s="83"/>
    </row>
    <row r="618">
      <c r="F618" s="83"/>
      <c r="G618" s="84"/>
      <c r="H618" s="83"/>
      <c r="K618" s="83"/>
      <c r="P618" s="83"/>
    </row>
    <row r="619">
      <c r="F619" s="83"/>
      <c r="G619" s="84"/>
      <c r="H619" s="83"/>
      <c r="K619" s="83"/>
      <c r="P619" s="83"/>
    </row>
    <row r="620">
      <c r="F620" s="83"/>
      <c r="G620" s="84"/>
      <c r="H620" s="83"/>
      <c r="K620" s="83"/>
      <c r="P620" s="83"/>
    </row>
    <row r="621">
      <c r="F621" s="83"/>
      <c r="G621" s="84"/>
      <c r="H621" s="83"/>
      <c r="K621" s="83"/>
      <c r="P621" s="83"/>
    </row>
    <row r="622">
      <c r="F622" s="83"/>
      <c r="G622" s="84"/>
      <c r="H622" s="83"/>
      <c r="K622" s="83"/>
      <c r="P622" s="83"/>
    </row>
    <row r="623">
      <c r="F623" s="83"/>
      <c r="G623" s="84"/>
      <c r="H623" s="83"/>
      <c r="K623" s="83"/>
      <c r="P623" s="83"/>
    </row>
    <row r="624">
      <c r="F624" s="83"/>
      <c r="G624" s="84"/>
      <c r="H624" s="83"/>
      <c r="K624" s="83"/>
      <c r="P624" s="83"/>
    </row>
    <row r="625">
      <c r="F625" s="83"/>
      <c r="G625" s="84"/>
      <c r="H625" s="83"/>
      <c r="K625" s="83"/>
      <c r="P625" s="83"/>
    </row>
    <row r="626">
      <c r="F626" s="83"/>
      <c r="G626" s="84"/>
      <c r="H626" s="83"/>
      <c r="K626" s="83"/>
      <c r="P626" s="83"/>
    </row>
    <row r="627">
      <c r="F627" s="83"/>
      <c r="G627" s="84"/>
      <c r="H627" s="83"/>
      <c r="K627" s="83"/>
      <c r="P627" s="83"/>
    </row>
    <row r="628">
      <c r="F628" s="83"/>
      <c r="G628" s="84"/>
      <c r="H628" s="83"/>
      <c r="K628" s="83"/>
      <c r="P628" s="83"/>
    </row>
    <row r="629">
      <c r="F629" s="83"/>
      <c r="G629" s="84"/>
      <c r="H629" s="83"/>
      <c r="K629" s="83"/>
      <c r="P629" s="83"/>
    </row>
    <row r="630">
      <c r="F630" s="83"/>
      <c r="G630" s="84"/>
      <c r="H630" s="83"/>
      <c r="K630" s="83"/>
      <c r="P630" s="83"/>
    </row>
    <row r="631">
      <c r="F631" s="83"/>
      <c r="G631" s="84"/>
      <c r="H631" s="83"/>
      <c r="K631" s="83"/>
      <c r="P631" s="83"/>
    </row>
    <row r="632">
      <c r="F632" s="83"/>
      <c r="G632" s="84"/>
      <c r="H632" s="83"/>
      <c r="K632" s="83"/>
      <c r="P632" s="83"/>
    </row>
    <row r="633">
      <c r="F633" s="83"/>
      <c r="G633" s="84"/>
      <c r="H633" s="83"/>
      <c r="K633" s="83"/>
      <c r="P633" s="83"/>
    </row>
    <row r="634">
      <c r="F634" s="83"/>
      <c r="G634" s="84"/>
      <c r="H634" s="83"/>
      <c r="K634" s="83"/>
      <c r="P634" s="83"/>
    </row>
    <row r="635">
      <c r="F635" s="83"/>
      <c r="G635" s="84"/>
      <c r="H635" s="83"/>
      <c r="K635" s="83"/>
      <c r="P635" s="83"/>
    </row>
    <row r="636">
      <c r="F636" s="83"/>
      <c r="G636" s="84"/>
      <c r="H636" s="83"/>
      <c r="K636" s="83"/>
      <c r="P636" s="83"/>
    </row>
    <row r="637">
      <c r="F637" s="83"/>
      <c r="G637" s="84"/>
      <c r="H637" s="83"/>
      <c r="K637" s="83"/>
      <c r="P637" s="83"/>
    </row>
    <row r="638">
      <c r="F638" s="83"/>
      <c r="G638" s="84"/>
      <c r="H638" s="83"/>
      <c r="K638" s="83"/>
      <c r="P638" s="83"/>
    </row>
    <row r="639">
      <c r="F639" s="83"/>
      <c r="G639" s="84"/>
      <c r="H639" s="83"/>
      <c r="K639" s="83"/>
      <c r="P639" s="83"/>
    </row>
    <row r="640">
      <c r="F640" s="83"/>
      <c r="G640" s="84"/>
      <c r="H640" s="83"/>
      <c r="K640" s="83"/>
      <c r="P640" s="83"/>
    </row>
    <row r="641">
      <c r="F641" s="83"/>
      <c r="G641" s="84"/>
      <c r="H641" s="83"/>
      <c r="K641" s="83"/>
      <c r="P641" s="83"/>
    </row>
    <row r="642">
      <c r="F642" s="83"/>
      <c r="G642" s="84"/>
      <c r="H642" s="83"/>
      <c r="K642" s="83"/>
      <c r="P642" s="83"/>
    </row>
    <row r="643">
      <c r="F643" s="83"/>
      <c r="G643" s="84"/>
      <c r="H643" s="83"/>
      <c r="K643" s="83"/>
      <c r="P643" s="83"/>
    </row>
    <row r="644">
      <c r="F644" s="83"/>
      <c r="G644" s="84"/>
      <c r="H644" s="83"/>
      <c r="K644" s="83"/>
      <c r="P644" s="83"/>
    </row>
    <row r="645">
      <c r="F645" s="83"/>
      <c r="G645" s="84"/>
      <c r="H645" s="83"/>
      <c r="K645" s="83"/>
      <c r="P645" s="83"/>
    </row>
    <row r="646">
      <c r="F646" s="83"/>
      <c r="G646" s="84"/>
      <c r="H646" s="83"/>
      <c r="K646" s="83"/>
      <c r="P646" s="83"/>
    </row>
    <row r="647">
      <c r="F647" s="83"/>
      <c r="G647" s="84"/>
      <c r="H647" s="83"/>
      <c r="K647" s="83"/>
      <c r="P647" s="83"/>
    </row>
    <row r="648">
      <c r="F648" s="83"/>
      <c r="G648" s="84"/>
      <c r="H648" s="83"/>
      <c r="K648" s="83"/>
      <c r="P648" s="83"/>
    </row>
    <row r="649">
      <c r="F649" s="83"/>
      <c r="G649" s="84"/>
      <c r="H649" s="83"/>
      <c r="K649" s="83"/>
      <c r="P649" s="83"/>
    </row>
    <row r="650">
      <c r="F650" s="83"/>
      <c r="G650" s="84"/>
      <c r="H650" s="83"/>
      <c r="K650" s="83"/>
      <c r="P650" s="83"/>
    </row>
    <row r="651">
      <c r="F651" s="83"/>
      <c r="G651" s="84"/>
      <c r="H651" s="83"/>
      <c r="K651" s="83"/>
      <c r="P651" s="83"/>
    </row>
    <row r="652">
      <c r="F652" s="83"/>
      <c r="G652" s="84"/>
      <c r="H652" s="83"/>
      <c r="K652" s="83"/>
      <c r="P652" s="83"/>
    </row>
    <row r="653">
      <c r="F653" s="83"/>
      <c r="G653" s="84"/>
      <c r="H653" s="83"/>
      <c r="K653" s="83"/>
      <c r="P653" s="83"/>
    </row>
    <row r="654">
      <c r="F654" s="83"/>
      <c r="G654" s="84"/>
      <c r="H654" s="83"/>
      <c r="K654" s="83"/>
      <c r="P654" s="83"/>
    </row>
    <row r="655">
      <c r="F655" s="83"/>
      <c r="G655" s="84"/>
      <c r="H655" s="83"/>
      <c r="K655" s="83"/>
      <c r="P655" s="83"/>
    </row>
    <row r="656">
      <c r="F656" s="83"/>
      <c r="G656" s="84"/>
      <c r="H656" s="83"/>
      <c r="K656" s="83"/>
      <c r="P656" s="83"/>
    </row>
    <row r="657">
      <c r="F657" s="83"/>
      <c r="G657" s="84"/>
      <c r="H657" s="83"/>
      <c r="K657" s="83"/>
      <c r="P657" s="83"/>
    </row>
    <row r="658">
      <c r="F658" s="83"/>
      <c r="G658" s="84"/>
      <c r="H658" s="83"/>
      <c r="K658" s="83"/>
      <c r="P658" s="83"/>
    </row>
    <row r="659">
      <c r="F659" s="83"/>
      <c r="G659" s="84"/>
      <c r="H659" s="83"/>
      <c r="K659" s="83"/>
      <c r="P659" s="83"/>
    </row>
    <row r="660">
      <c r="F660" s="83"/>
      <c r="G660" s="84"/>
      <c r="H660" s="83"/>
      <c r="K660" s="83"/>
      <c r="P660" s="83"/>
    </row>
    <row r="661">
      <c r="F661" s="83"/>
      <c r="G661" s="84"/>
      <c r="H661" s="83"/>
      <c r="K661" s="83"/>
      <c r="P661" s="83"/>
    </row>
    <row r="662">
      <c r="F662" s="83"/>
      <c r="G662" s="84"/>
      <c r="H662" s="83"/>
      <c r="K662" s="83"/>
      <c r="P662" s="83"/>
    </row>
    <row r="663">
      <c r="F663" s="83"/>
      <c r="G663" s="84"/>
      <c r="H663" s="83"/>
      <c r="K663" s="83"/>
      <c r="P663" s="83"/>
    </row>
    <row r="664">
      <c r="F664" s="83"/>
      <c r="G664" s="84"/>
      <c r="H664" s="83"/>
      <c r="K664" s="83"/>
      <c r="P664" s="83"/>
    </row>
    <row r="665">
      <c r="F665" s="83"/>
      <c r="G665" s="84"/>
      <c r="H665" s="83"/>
      <c r="K665" s="83"/>
      <c r="P665" s="83"/>
    </row>
    <row r="666">
      <c r="F666" s="83"/>
      <c r="G666" s="84"/>
      <c r="H666" s="83"/>
      <c r="K666" s="83"/>
      <c r="P666" s="83"/>
    </row>
    <row r="667">
      <c r="F667" s="83"/>
      <c r="G667" s="84"/>
      <c r="H667" s="83"/>
      <c r="K667" s="83"/>
      <c r="P667" s="83"/>
    </row>
    <row r="668">
      <c r="F668" s="83"/>
      <c r="G668" s="84"/>
      <c r="H668" s="83"/>
      <c r="K668" s="83"/>
      <c r="P668" s="83"/>
    </row>
    <row r="669">
      <c r="F669" s="83"/>
      <c r="G669" s="84"/>
      <c r="H669" s="83"/>
      <c r="K669" s="83"/>
      <c r="P669" s="83"/>
    </row>
    <row r="670">
      <c r="F670" s="83"/>
      <c r="G670" s="84"/>
      <c r="H670" s="83"/>
      <c r="K670" s="83"/>
      <c r="P670" s="83"/>
    </row>
    <row r="671">
      <c r="F671" s="83"/>
      <c r="G671" s="84"/>
      <c r="H671" s="83"/>
      <c r="K671" s="83"/>
      <c r="P671" s="83"/>
    </row>
    <row r="672">
      <c r="F672" s="83"/>
      <c r="G672" s="84"/>
      <c r="H672" s="83"/>
      <c r="K672" s="83"/>
      <c r="P672" s="83"/>
    </row>
    <row r="673">
      <c r="F673" s="83"/>
      <c r="G673" s="84"/>
      <c r="H673" s="83"/>
      <c r="K673" s="83"/>
      <c r="P673" s="83"/>
    </row>
    <row r="674">
      <c r="F674" s="83"/>
      <c r="G674" s="84"/>
      <c r="H674" s="83"/>
      <c r="K674" s="83"/>
      <c r="P674" s="83"/>
    </row>
    <row r="675">
      <c r="F675" s="83"/>
      <c r="G675" s="84"/>
      <c r="H675" s="83"/>
      <c r="K675" s="83"/>
      <c r="P675" s="83"/>
    </row>
    <row r="676">
      <c r="F676" s="83"/>
      <c r="G676" s="84"/>
      <c r="H676" s="83"/>
      <c r="K676" s="83"/>
      <c r="P676" s="83"/>
    </row>
    <row r="677">
      <c r="F677" s="83"/>
      <c r="G677" s="84"/>
      <c r="H677" s="83"/>
      <c r="K677" s="83"/>
      <c r="P677" s="83"/>
    </row>
    <row r="678">
      <c r="F678" s="83"/>
      <c r="G678" s="84"/>
      <c r="H678" s="83"/>
      <c r="K678" s="83"/>
      <c r="P678" s="83"/>
    </row>
    <row r="679">
      <c r="F679" s="83"/>
      <c r="G679" s="84"/>
      <c r="H679" s="83"/>
      <c r="K679" s="83"/>
      <c r="P679" s="83"/>
    </row>
    <row r="680">
      <c r="F680" s="83"/>
      <c r="G680" s="84"/>
      <c r="H680" s="83"/>
      <c r="K680" s="83"/>
      <c r="P680" s="83"/>
    </row>
    <row r="681">
      <c r="F681" s="83"/>
      <c r="G681" s="84"/>
      <c r="H681" s="83"/>
      <c r="K681" s="83"/>
      <c r="P681" s="83"/>
    </row>
    <row r="682">
      <c r="F682" s="83"/>
      <c r="G682" s="84"/>
      <c r="H682" s="83"/>
      <c r="K682" s="83"/>
      <c r="P682" s="83"/>
    </row>
    <row r="683">
      <c r="F683" s="83"/>
      <c r="G683" s="84"/>
      <c r="H683" s="83"/>
      <c r="K683" s="83"/>
      <c r="P683" s="83"/>
    </row>
    <row r="684">
      <c r="F684" s="83"/>
      <c r="G684" s="84"/>
      <c r="H684" s="83"/>
      <c r="K684" s="83"/>
      <c r="P684" s="83"/>
    </row>
    <row r="685">
      <c r="F685" s="83"/>
      <c r="G685" s="84"/>
      <c r="H685" s="83"/>
      <c r="K685" s="83"/>
      <c r="P685" s="83"/>
    </row>
    <row r="686">
      <c r="F686" s="83"/>
      <c r="G686" s="84"/>
      <c r="H686" s="83"/>
      <c r="K686" s="83"/>
      <c r="P686" s="83"/>
    </row>
    <row r="687">
      <c r="F687" s="83"/>
      <c r="G687" s="84"/>
      <c r="H687" s="83"/>
      <c r="K687" s="83"/>
      <c r="P687" s="83"/>
    </row>
    <row r="688">
      <c r="F688" s="83"/>
      <c r="G688" s="84"/>
      <c r="H688" s="83"/>
      <c r="K688" s="83"/>
      <c r="P688" s="83"/>
    </row>
    <row r="689">
      <c r="F689" s="83"/>
      <c r="G689" s="84"/>
      <c r="H689" s="83"/>
      <c r="K689" s="83"/>
      <c r="P689" s="83"/>
    </row>
    <row r="690">
      <c r="F690" s="83"/>
      <c r="G690" s="84"/>
      <c r="H690" s="83"/>
      <c r="K690" s="83"/>
      <c r="P690" s="83"/>
    </row>
    <row r="691">
      <c r="F691" s="83"/>
      <c r="G691" s="84"/>
      <c r="H691" s="83"/>
      <c r="K691" s="83"/>
      <c r="P691" s="83"/>
    </row>
    <row r="692">
      <c r="F692" s="83"/>
      <c r="G692" s="84"/>
      <c r="H692" s="83"/>
      <c r="K692" s="83"/>
      <c r="P692" s="83"/>
    </row>
    <row r="693">
      <c r="F693" s="83"/>
      <c r="G693" s="84"/>
      <c r="H693" s="83"/>
      <c r="K693" s="83"/>
      <c r="P693" s="83"/>
    </row>
    <row r="694">
      <c r="F694" s="83"/>
      <c r="G694" s="84"/>
      <c r="H694" s="83"/>
      <c r="K694" s="83"/>
      <c r="P694" s="83"/>
    </row>
    <row r="695">
      <c r="F695" s="83"/>
      <c r="G695" s="84"/>
      <c r="H695" s="83"/>
      <c r="K695" s="83"/>
      <c r="P695" s="83"/>
    </row>
    <row r="696">
      <c r="F696" s="83"/>
      <c r="G696" s="84"/>
      <c r="H696" s="83"/>
      <c r="K696" s="83"/>
      <c r="P696" s="83"/>
    </row>
    <row r="697">
      <c r="F697" s="83"/>
      <c r="G697" s="84"/>
      <c r="H697" s="83"/>
      <c r="K697" s="83"/>
      <c r="P697" s="83"/>
    </row>
    <row r="698">
      <c r="F698" s="83"/>
      <c r="G698" s="84"/>
      <c r="H698" s="83"/>
      <c r="K698" s="83"/>
      <c r="P698" s="83"/>
    </row>
    <row r="699">
      <c r="F699" s="83"/>
      <c r="G699" s="84"/>
      <c r="H699" s="83"/>
      <c r="K699" s="83"/>
      <c r="P699" s="83"/>
    </row>
    <row r="700">
      <c r="F700" s="83"/>
      <c r="G700" s="84"/>
      <c r="H700" s="83"/>
      <c r="K700" s="83"/>
      <c r="P700" s="83"/>
    </row>
    <row r="701">
      <c r="F701" s="83"/>
      <c r="G701" s="84"/>
      <c r="H701" s="83"/>
      <c r="K701" s="83"/>
      <c r="P701" s="83"/>
    </row>
    <row r="702">
      <c r="F702" s="83"/>
      <c r="G702" s="84"/>
      <c r="H702" s="83"/>
      <c r="K702" s="83"/>
      <c r="P702" s="83"/>
    </row>
    <row r="703">
      <c r="F703" s="83"/>
      <c r="G703" s="84"/>
      <c r="H703" s="83"/>
      <c r="K703" s="83"/>
      <c r="P703" s="83"/>
    </row>
    <row r="704">
      <c r="F704" s="83"/>
      <c r="G704" s="84"/>
      <c r="H704" s="83"/>
      <c r="K704" s="83"/>
      <c r="P704" s="83"/>
    </row>
    <row r="705">
      <c r="F705" s="83"/>
      <c r="G705" s="84"/>
      <c r="H705" s="83"/>
      <c r="K705" s="83"/>
      <c r="P705" s="83"/>
    </row>
    <row r="706">
      <c r="F706" s="83"/>
      <c r="G706" s="84"/>
      <c r="H706" s="83"/>
      <c r="K706" s="83"/>
      <c r="P706" s="83"/>
    </row>
    <row r="707">
      <c r="F707" s="83"/>
      <c r="G707" s="84"/>
      <c r="H707" s="83"/>
      <c r="K707" s="83"/>
      <c r="P707" s="83"/>
    </row>
    <row r="708">
      <c r="F708" s="83"/>
      <c r="G708" s="84"/>
      <c r="H708" s="83"/>
      <c r="K708" s="83"/>
      <c r="P708" s="83"/>
    </row>
    <row r="709">
      <c r="F709" s="83"/>
      <c r="G709" s="84"/>
      <c r="H709" s="83"/>
      <c r="K709" s="83"/>
      <c r="P709" s="83"/>
    </row>
    <row r="710">
      <c r="F710" s="83"/>
      <c r="G710" s="84"/>
      <c r="H710" s="83"/>
      <c r="K710" s="83"/>
      <c r="P710" s="83"/>
    </row>
    <row r="711">
      <c r="F711" s="83"/>
      <c r="G711" s="84"/>
      <c r="H711" s="83"/>
      <c r="K711" s="83"/>
      <c r="P711" s="83"/>
    </row>
    <row r="712">
      <c r="F712" s="83"/>
      <c r="G712" s="84"/>
      <c r="H712" s="83"/>
      <c r="K712" s="83"/>
      <c r="P712" s="83"/>
    </row>
    <row r="713">
      <c r="F713" s="83"/>
      <c r="G713" s="84"/>
      <c r="H713" s="83"/>
      <c r="K713" s="83"/>
      <c r="P713" s="83"/>
    </row>
    <row r="714">
      <c r="F714" s="83"/>
      <c r="G714" s="84"/>
      <c r="H714" s="83"/>
      <c r="K714" s="83"/>
      <c r="P714" s="83"/>
    </row>
    <row r="715">
      <c r="F715" s="83"/>
      <c r="G715" s="84"/>
      <c r="H715" s="83"/>
      <c r="K715" s="83"/>
      <c r="P715" s="83"/>
    </row>
    <row r="716">
      <c r="F716" s="83"/>
      <c r="G716" s="84"/>
      <c r="H716" s="83"/>
      <c r="K716" s="83"/>
      <c r="P716" s="83"/>
    </row>
    <row r="717">
      <c r="F717" s="83"/>
      <c r="G717" s="84"/>
      <c r="H717" s="83"/>
      <c r="K717" s="83"/>
      <c r="P717" s="83"/>
    </row>
    <row r="718">
      <c r="F718" s="83"/>
      <c r="G718" s="84"/>
      <c r="H718" s="83"/>
      <c r="K718" s="83"/>
      <c r="P718" s="83"/>
    </row>
    <row r="719">
      <c r="F719" s="83"/>
      <c r="G719" s="84"/>
      <c r="H719" s="83"/>
      <c r="K719" s="83"/>
      <c r="P719" s="83"/>
    </row>
    <row r="720">
      <c r="F720" s="83"/>
      <c r="G720" s="84"/>
      <c r="H720" s="83"/>
      <c r="K720" s="83"/>
      <c r="P720" s="83"/>
    </row>
    <row r="721">
      <c r="F721" s="83"/>
      <c r="G721" s="84"/>
      <c r="H721" s="83"/>
      <c r="K721" s="83"/>
      <c r="P721" s="83"/>
    </row>
    <row r="722">
      <c r="F722" s="83"/>
      <c r="G722" s="84"/>
      <c r="H722" s="83"/>
      <c r="K722" s="83"/>
      <c r="P722" s="83"/>
    </row>
    <row r="723">
      <c r="F723" s="83"/>
      <c r="G723" s="84"/>
      <c r="H723" s="83"/>
      <c r="K723" s="83"/>
      <c r="P723" s="83"/>
    </row>
    <row r="724">
      <c r="F724" s="83"/>
      <c r="G724" s="84"/>
      <c r="H724" s="83"/>
      <c r="K724" s="83"/>
      <c r="P724" s="83"/>
    </row>
    <row r="725">
      <c r="F725" s="83"/>
      <c r="G725" s="84"/>
      <c r="H725" s="83"/>
      <c r="K725" s="83"/>
      <c r="P725" s="83"/>
    </row>
    <row r="726">
      <c r="F726" s="83"/>
      <c r="G726" s="84"/>
      <c r="H726" s="83"/>
      <c r="K726" s="83"/>
      <c r="P726" s="83"/>
    </row>
    <row r="727">
      <c r="F727" s="83"/>
      <c r="G727" s="84"/>
      <c r="H727" s="83"/>
      <c r="K727" s="83"/>
      <c r="P727" s="83"/>
    </row>
    <row r="728">
      <c r="F728" s="83"/>
      <c r="G728" s="84"/>
      <c r="H728" s="83"/>
      <c r="K728" s="83"/>
      <c r="P728" s="83"/>
    </row>
    <row r="729">
      <c r="F729" s="83"/>
      <c r="G729" s="84"/>
      <c r="H729" s="83"/>
      <c r="K729" s="83"/>
      <c r="P729" s="83"/>
    </row>
    <row r="730">
      <c r="F730" s="83"/>
      <c r="G730" s="84"/>
      <c r="H730" s="83"/>
      <c r="K730" s="83"/>
      <c r="P730" s="83"/>
    </row>
    <row r="731">
      <c r="F731" s="83"/>
      <c r="G731" s="84"/>
      <c r="H731" s="83"/>
      <c r="K731" s="83"/>
      <c r="P731" s="83"/>
    </row>
    <row r="732">
      <c r="F732" s="83"/>
      <c r="G732" s="84"/>
      <c r="H732" s="83"/>
      <c r="K732" s="83"/>
      <c r="P732" s="83"/>
    </row>
    <row r="733">
      <c r="F733" s="83"/>
      <c r="G733" s="84"/>
      <c r="H733" s="83"/>
      <c r="K733" s="83"/>
      <c r="P733" s="83"/>
    </row>
    <row r="734">
      <c r="F734" s="83"/>
      <c r="G734" s="84"/>
      <c r="H734" s="83"/>
      <c r="K734" s="83"/>
      <c r="P734" s="83"/>
    </row>
    <row r="735">
      <c r="F735" s="83"/>
      <c r="G735" s="84"/>
      <c r="H735" s="83"/>
      <c r="K735" s="83"/>
      <c r="P735" s="83"/>
    </row>
    <row r="736">
      <c r="F736" s="83"/>
      <c r="G736" s="84"/>
      <c r="H736" s="83"/>
      <c r="K736" s="83"/>
      <c r="P736" s="83"/>
    </row>
    <row r="737">
      <c r="F737" s="83"/>
      <c r="G737" s="84"/>
      <c r="H737" s="83"/>
      <c r="K737" s="83"/>
      <c r="P737" s="83"/>
    </row>
    <row r="738">
      <c r="F738" s="83"/>
      <c r="G738" s="84"/>
      <c r="H738" s="83"/>
      <c r="K738" s="83"/>
      <c r="P738" s="83"/>
    </row>
    <row r="739">
      <c r="F739" s="83"/>
      <c r="G739" s="84"/>
      <c r="H739" s="83"/>
      <c r="K739" s="83"/>
      <c r="P739" s="83"/>
    </row>
    <row r="740">
      <c r="F740" s="83"/>
      <c r="G740" s="84"/>
      <c r="H740" s="83"/>
      <c r="K740" s="83"/>
      <c r="P740" s="83"/>
    </row>
    <row r="741">
      <c r="F741" s="83"/>
      <c r="G741" s="84"/>
      <c r="H741" s="83"/>
      <c r="K741" s="83"/>
      <c r="P741" s="83"/>
    </row>
    <row r="742">
      <c r="F742" s="83"/>
      <c r="G742" s="84"/>
      <c r="H742" s="83"/>
      <c r="K742" s="83"/>
      <c r="P742" s="83"/>
    </row>
    <row r="743">
      <c r="F743" s="83"/>
      <c r="G743" s="84"/>
      <c r="H743" s="83"/>
      <c r="K743" s="83"/>
      <c r="P743" s="83"/>
    </row>
    <row r="744">
      <c r="F744" s="83"/>
      <c r="G744" s="84"/>
      <c r="H744" s="83"/>
      <c r="K744" s="83"/>
      <c r="P744" s="83"/>
    </row>
    <row r="745">
      <c r="F745" s="83"/>
      <c r="G745" s="84"/>
      <c r="H745" s="83"/>
      <c r="K745" s="83"/>
      <c r="P745" s="83"/>
    </row>
    <row r="746">
      <c r="F746" s="83"/>
      <c r="G746" s="84"/>
      <c r="H746" s="83"/>
      <c r="K746" s="83"/>
      <c r="P746" s="83"/>
    </row>
    <row r="747">
      <c r="F747" s="83"/>
      <c r="G747" s="84"/>
      <c r="H747" s="83"/>
      <c r="K747" s="83"/>
      <c r="P747" s="83"/>
    </row>
    <row r="748">
      <c r="F748" s="83"/>
      <c r="G748" s="84"/>
      <c r="H748" s="83"/>
      <c r="K748" s="83"/>
      <c r="P748" s="83"/>
    </row>
    <row r="749">
      <c r="F749" s="83"/>
      <c r="G749" s="84"/>
      <c r="H749" s="83"/>
      <c r="K749" s="83"/>
      <c r="P749" s="83"/>
    </row>
    <row r="750">
      <c r="F750" s="83"/>
      <c r="G750" s="84"/>
      <c r="H750" s="83"/>
      <c r="K750" s="83"/>
      <c r="P750" s="83"/>
    </row>
    <row r="751">
      <c r="F751" s="83"/>
      <c r="G751" s="84"/>
      <c r="H751" s="83"/>
      <c r="K751" s="83"/>
      <c r="P751" s="83"/>
    </row>
    <row r="752">
      <c r="F752" s="83"/>
      <c r="G752" s="84"/>
      <c r="H752" s="83"/>
      <c r="K752" s="83"/>
      <c r="P752" s="83"/>
    </row>
    <row r="753">
      <c r="F753" s="83"/>
      <c r="G753" s="84"/>
      <c r="H753" s="83"/>
      <c r="K753" s="83"/>
      <c r="P753" s="83"/>
    </row>
    <row r="754">
      <c r="F754" s="83"/>
      <c r="G754" s="84"/>
      <c r="H754" s="83"/>
      <c r="K754" s="83"/>
      <c r="P754" s="83"/>
    </row>
    <row r="755">
      <c r="F755" s="83"/>
      <c r="G755" s="84"/>
      <c r="H755" s="83"/>
      <c r="K755" s="83"/>
      <c r="P755" s="83"/>
    </row>
    <row r="756">
      <c r="F756" s="83"/>
      <c r="G756" s="84"/>
      <c r="H756" s="83"/>
      <c r="K756" s="83"/>
      <c r="P756" s="83"/>
    </row>
    <row r="757">
      <c r="F757" s="83"/>
      <c r="G757" s="84"/>
      <c r="H757" s="83"/>
      <c r="K757" s="83"/>
      <c r="P757" s="83"/>
    </row>
    <row r="758">
      <c r="F758" s="83"/>
      <c r="G758" s="84"/>
      <c r="H758" s="83"/>
      <c r="K758" s="83"/>
      <c r="P758" s="83"/>
    </row>
    <row r="759">
      <c r="F759" s="83"/>
      <c r="G759" s="84"/>
      <c r="H759" s="83"/>
      <c r="K759" s="83"/>
      <c r="P759" s="83"/>
    </row>
    <row r="760">
      <c r="F760" s="83"/>
      <c r="G760" s="84"/>
      <c r="H760" s="83"/>
      <c r="K760" s="83"/>
      <c r="P760" s="83"/>
    </row>
    <row r="761">
      <c r="F761" s="83"/>
      <c r="G761" s="84"/>
      <c r="H761" s="83"/>
      <c r="K761" s="83"/>
      <c r="P761" s="83"/>
    </row>
    <row r="762">
      <c r="F762" s="83"/>
      <c r="G762" s="84"/>
      <c r="H762" s="83"/>
      <c r="K762" s="83"/>
      <c r="P762" s="83"/>
    </row>
    <row r="763">
      <c r="F763" s="83"/>
      <c r="G763" s="84"/>
      <c r="H763" s="83"/>
      <c r="K763" s="83"/>
      <c r="P763" s="83"/>
    </row>
    <row r="764">
      <c r="F764" s="83"/>
      <c r="G764" s="84"/>
      <c r="H764" s="83"/>
      <c r="K764" s="83"/>
      <c r="P764" s="83"/>
    </row>
    <row r="765">
      <c r="F765" s="83"/>
      <c r="G765" s="84"/>
      <c r="H765" s="83"/>
      <c r="K765" s="83"/>
      <c r="P765" s="83"/>
    </row>
    <row r="766">
      <c r="F766" s="83"/>
      <c r="G766" s="84"/>
      <c r="H766" s="83"/>
      <c r="K766" s="83"/>
      <c r="P766" s="83"/>
    </row>
    <row r="767">
      <c r="F767" s="83"/>
      <c r="G767" s="84"/>
      <c r="H767" s="83"/>
      <c r="K767" s="83"/>
      <c r="P767" s="83"/>
    </row>
    <row r="768">
      <c r="F768" s="83"/>
      <c r="G768" s="84"/>
      <c r="H768" s="83"/>
      <c r="K768" s="83"/>
      <c r="P768" s="83"/>
    </row>
    <row r="769">
      <c r="F769" s="83"/>
      <c r="G769" s="84"/>
      <c r="H769" s="83"/>
      <c r="K769" s="83"/>
      <c r="P769" s="83"/>
    </row>
    <row r="770">
      <c r="F770" s="83"/>
      <c r="G770" s="84"/>
      <c r="H770" s="83"/>
      <c r="K770" s="83"/>
      <c r="P770" s="83"/>
    </row>
    <row r="771">
      <c r="F771" s="83"/>
      <c r="G771" s="84"/>
      <c r="H771" s="83"/>
      <c r="K771" s="83"/>
      <c r="P771" s="83"/>
    </row>
    <row r="772">
      <c r="F772" s="83"/>
      <c r="G772" s="84"/>
      <c r="H772" s="83"/>
      <c r="K772" s="83"/>
      <c r="P772" s="83"/>
    </row>
    <row r="773">
      <c r="F773" s="83"/>
      <c r="G773" s="84"/>
      <c r="H773" s="83"/>
      <c r="K773" s="83"/>
      <c r="P773" s="83"/>
    </row>
    <row r="774">
      <c r="F774" s="83"/>
      <c r="G774" s="84"/>
      <c r="H774" s="83"/>
      <c r="K774" s="83"/>
      <c r="P774" s="83"/>
    </row>
    <row r="775">
      <c r="F775" s="83"/>
      <c r="G775" s="84"/>
      <c r="H775" s="83"/>
      <c r="K775" s="83"/>
      <c r="P775" s="83"/>
    </row>
    <row r="776">
      <c r="F776" s="83"/>
      <c r="G776" s="84"/>
      <c r="H776" s="83"/>
      <c r="K776" s="83"/>
      <c r="P776" s="83"/>
    </row>
    <row r="777">
      <c r="F777" s="83"/>
      <c r="G777" s="84"/>
      <c r="H777" s="83"/>
      <c r="K777" s="83"/>
      <c r="P777" s="83"/>
    </row>
    <row r="778">
      <c r="F778" s="83"/>
      <c r="G778" s="84"/>
      <c r="H778" s="83"/>
      <c r="K778" s="83"/>
      <c r="P778" s="83"/>
    </row>
    <row r="779">
      <c r="F779" s="83"/>
      <c r="G779" s="84"/>
      <c r="H779" s="83"/>
      <c r="K779" s="83"/>
      <c r="P779" s="83"/>
    </row>
    <row r="780">
      <c r="F780" s="83"/>
      <c r="G780" s="84"/>
      <c r="H780" s="83"/>
      <c r="K780" s="83"/>
      <c r="P780" s="83"/>
    </row>
    <row r="781">
      <c r="F781" s="83"/>
      <c r="G781" s="84"/>
      <c r="H781" s="83"/>
      <c r="K781" s="83"/>
      <c r="P781" s="83"/>
    </row>
    <row r="782">
      <c r="F782" s="83"/>
      <c r="G782" s="84"/>
      <c r="H782" s="83"/>
      <c r="K782" s="83"/>
      <c r="P782" s="83"/>
    </row>
    <row r="783">
      <c r="F783" s="83"/>
      <c r="G783" s="84"/>
      <c r="H783" s="83"/>
      <c r="K783" s="83"/>
      <c r="P783" s="83"/>
    </row>
    <row r="784">
      <c r="F784" s="83"/>
      <c r="G784" s="84"/>
      <c r="H784" s="83"/>
      <c r="K784" s="83"/>
      <c r="P784" s="83"/>
    </row>
    <row r="785">
      <c r="F785" s="83"/>
      <c r="G785" s="84"/>
      <c r="H785" s="83"/>
      <c r="K785" s="83"/>
      <c r="P785" s="83"/>
    </row>
    <row r="786">
      <c r="F786" s="83"/>
      <c r="G786" s="84"/>
      <c r="H786" s="83"/>
      <c r="K786" s="83"/>
      <c r="P786" s="83"/>
    </row>
    <row r="787">
      <c r="F787" s="83"/>
      <c r="G787" s="84"/>
      <c r="H787" s="83"/>
      <c r="K787" s="83"/>
      <c r="P787" s="83"/>
    </row>
    <row r="788">
      <c r="F788" s="83"/>
      <c r="G788" s="84"/>
      <c r="H788" s="83"/>
      <c r="K788" s="83"/>
      <c r="P788" s="83"/>
    </row>
    <row r="789">
      <c r="F789" s="83"/>
      <c r="G789" s="84"/>
      <c r="H789" s="83"/>
      <c r="K789" s="83"/>
      <c r="P789" s="83"/>
    </row>
    <row r="790">
      <c r="F790" s="83"/>
      <c r="G790" s="84"/>
      <c r="H790" s="83"/>
      <c r="K790" s="83"/>
      <c r="P790" s="83"/>
    </row>
    <row r="791">
      <c r="F791" s="83"/>
      <c r="G791" s="84"/>
      <c r="H791" s="83"/>
      <c r="K791" s="83"/>
      <c r="P791" s="83"/>
    </row>
    <row r="792">
      <c r="F792" s="83"/>
      <c r="G792" s="84"/>
      <c r="H792" s="83"/>
      <c r="K792" s="83"/>
      <c r="P792" s="83"/>
    </row>
    <row r="793">
      <c r="F793" s="83"/>
      <c r="G793" s="84"/>
      <c r="H793" s="83"/>
      <c r="K793" s="83"/>
      <c r="P793" s="83"/>
    </row>
    <row r="794">
      <c r="F794" s="83"/>
      <c r="G794" s="84"/>
      <c r="H794" s="83"/>
      <c r="K794" s="83"/>
      <c r="P794" s="83"/>
    </row>
    <row r="795">
      <c r="F795" s="83"/>
      <c r="G795" s="84"/>
      <c r="H795" s="83"/>
      <c r="K795" s="83"/>
      <c r="P795" s="83"/>
    </row>
    <row r="796">
      <c r="F796" s="83"/>
      <c r="G796" s="84"/>
      <c r="H796" s="83"/>
      <c r="K796" s="83"/>
      <c r="P796" s="83"/>
    </row>
    <row r="797">
      <c r="F797" s="83"/>
      <c r="G797" s="84"/>
      <c r="H797" s="83"/>
      <c r="K797" s="83"/>
      <c r="P797" s="83"/>
    </row>
    <row r="798">
      <c r="F798" s="83"/>
      <c r="G798" s="84"/>
      <c r="H798" s="83"/>
      <c r="K798" s="83"/>
      <c r="P798" s="83"/>
    </row>
    <row r="799">
      <c r="F799" s="83"/>
      <c r="G799" s="84"/>
      <c r="H799" s="83"/>
      <c r="K799" s="83"/>
      <c r="P799" s="83"/>
    </row>
    <row r="800">
      <c r="F800" s="83"/>
      <c r="G800" s="84"/>
      <c r="H800" s="83"/>
      <c r="K800" s="83"/>
      <c r="P800" s="83"/>
    </row>
    <row r="801">
      <c r="F801" s="83"/>
      <c r="G801" s="84"/>
      <c r="H801" s="83"/>
      <c r="K801" s="83"/>
      <c r="P801" s="83"/>
    </row>
    <row r="802">
      <c r="F802" s="83"/>
      <c r="G802" s="84"/>
      <c r="H802" s="83"/>
      <c r="K802" s="83"/>
      <c r="P802" s="83"/>
    </row>
    <row r="803">
      <c r="F803" s="83"/>
      <c r="G803" s="84"/>
      <c r="H803" s="83"/>
      <c r="K803" s="83"/>
      <c r="P803" s="83"/>
    </row>
    <row r="804">
      <c r="F804" s="83"/>
      <c r="G804" s="84"/>
      <c r="H804" s="83"/>
      <c r="K804" s="83"/>
      <c r="P804" s="83"/>
    </row>
    <row r="805">
      <c r="F805" s="83"/>
      <c r="G805" s="84"/>
      <c r="H805" s="83"/>
      <c r="K805" s="83"/>
      <c r="P805" s="83"/>
    </row>
    <row r="806">
      <c r="F806" s="83"/>
      <c r="G806" s="84"/>
      <c r="H806" s="83"/>
      <c r="K806" s="83"/>
      <c r="P806" s="83"/>
    </row>
    <row r="807">
      <c r="F807" s="83"/>
      <c r="G807" s="84"/>
      <c r="H807" s="83"/>
      <c r="K807" s="83"/>
      <c r="P807" s="83"/>
    </row>
    <row r="808">
      <c r="F808" s="83"/>
      <c r="G808" s="84"/>
      <c r="H808" s="83"/>
      <c r="K808" s="83"/>
      <c r="P808" s="83"/>
    </row>
    <row r="809">
      <c r="F809" s="83"/>
      <c r="G809" s="84"/>
      <c r="H809" s="83"/>
      <c r="K809" s="83"/>
      <c r="P809" s="83"/>
    </row>
    <row r="810">
      <c r="F810" s="83"/>
      <c r="G810" s="84"/>
      <c r="H810" s="83"/>
      <c r="K810" s="83"/>
      <c r="P810" s="83"/>
    </row>
    <row r="811">
      <c r="F811" s="83"/>
      <c r="G811" s="84"/>
      <c r="H811" s="83"/>
      <c r="K811" s="83"/>
      <c r="P811" s="83"/>
    </row>
    <row r="812">
      <c r="F812" s="83"/>
      <c r="G812" s="84"/>
      <c r="H812" s="83"/>
      <c r="K812" s="83"/>
      <c r="P812" s="83"/>
    </row>
    <row r="813">
      <c r="F813" s="83"/>
      <c r="G813" s="84"/>
      <c r="H813" s="83"/>
      <c r="K813" s="83"/>
      <c r="P813" s="83"/>
    </row>
    <row r="814">
      <c r="F814" s="83"/>
      <c r="G814" s="84"/>
      <c r="H814" s="83"/>
      <c r="K814" s="83"/>
      <c r="P814" s="83"/>
    </row>
    <row r="815">
      <c r="F815" s="83"/>
      <c r="G815" s="84"/>
      <c r="H815" s="83"/>
      <c r="K815" s="83"/>
      <c r="P815" s="83"/>
    </row>
    <row r="816">
      <c r="F816" s="83"/>
      <c r="G816" s="84"/>
      <c r="H816" s="83"/>
      <c r="K816" s="83"/>
      <c r="P816" s="83"/>
    </row>
    <row r="817">
      <c r="F817" s="83"/>
      <c r="G817" s="84"/>
      <c r="H817" s="83"/>
      <c r="K817" s="83"/>
      <c r="P817" s="83"/>
    </row>
    <row r="818">
      <c r="F818" s="83"/>
      <c r="G818" s="84"/>
      <c r="H818" s="83"/>
      <c r="K818" s="83"/>
      <c r="P818" s="83"/>
    </row>
    <row r="819">
      <c r="F819" s="83"/>
      <c r="G819" s="84"/>
      <c r="H819" s="83"/>
      <c r="K819" s="83"/>
      <c r="P819" s="83"/>
    </row>
    <row r="820">
      <c r="F820" s="83"/>
      <c r="G820" s="84"/>
      <c r="H820" s="83"/>
      <c r="K820" s="83"/>
      <c r="P820" s="83"/>
    </row>
    <row r="821">
      <c r="F821" s="83"/>
      <c r="G821" s="84"/>
      <c r="H821" s="83"/>
      <c r="K821" s="83"/>
      <c r="P821" s="83"/>
    </row>
    <row r="822">
      <c r="F822" s="83"/>
      <c r="G822" s="84"/>
      <c r="H822" s="83"/>
      <c r="K822" s="83"/>
      <c r="P822" s="83"/>
    </row>
    <row r="823">
      <c r="F823" s="83"/>
      <c r="G823" s="84"/>
      <c r="H823" s="83"/>
      <c r="K823" s="83"/>
      <c r="P823" s="83"/>
    </row>
    <row r="824">
      <c r="F824" s="83"/>
      <c r="G824" s="84"/>
      <c r="H824" s="83"/>
      <c r="K824" s="83"/>
      <c r="P824" s="83"/>
    </row>
    <row r="825">
      <c r="F825" s="83"/>
      <c r="G825" s="84"/>
      <c r="H825" s="83"/>
      <c r="K825" s="83"/>
      <c r="P825" s="83"/>
    </row>
    <row r="826">
      <c r="F826" s="83"/>
      <c r="G826" s="84"/>
      <c r="H826" s="83"/>
      <c r="K826" s="83"/>
      <c r="P826" s="83"/>
    </row>
    <row r="827">
      <c r="F827" s="83"/>
      <c r="G827" s="84"/>
      <c r="H827" s="83"/>
      <c r="K827" s="83"/>
      <c r="P827" s="83"/>
    </row>
    <row r="828">
      <c r="F828" s="83"/>
      <c r="G828" s="84"/>
      <c r="H828" s="83"/>
      <c r="K828" s="83"/>
      <c r="P828" s="83"/>
    </row>
    <row r="829">
      <c r="F829" s="83"/>
      <c r="G829" s="84"/>
      <c r="H829" s="83"/>
      <c r="K829" s="83"/>
      <c r="P829" s="83"/>
    </row>
    <row r="830">
      <c r="F830" s="83"/>
      <c r="G830" s="84"/>
      <c r="H830" s="83"/>
      <c r="K830" s="83"/>
      <c r="P830" s="83"/>
    </row>
    <row r="831">
      <c r="F831" s="83"/>
      <c r="G831" s="84"/>
      <c r="H831" s="83"/>
      <c r="K831" s="83"/>
      <c r="P831" s="83"/>
    </row>
    <row r="832">
      <c r="F832" s="83"/>
      <c r="G832" s="84"/>
      <c r="H832" s="83"/>
      <c r="K832" s="83"/>
      <c r="P832" s="83"/>
    </row>
    <row r="833">
      <c r="F833" s="83"/>
      <c r="G833" s="84"/>
      <c r="H833" s="83"/>
      <c r="K833" s="83"/>
      <c r="P833" s="83"/>
    </row>
    <row r="834">
      <c r="F834" s="83"/>
      <c r="G834" s="84"/>
      <c r="H834" s="83"/>
      <c r="K834" s="83"/>
      <c r="P834" s="83"/>
    </row>
    <row r="835">
      <c r="F835" s="83"/>
      <c r="G835" s="84"/>
      <c r="H835" s="83"/>
      <c r="K835" s="83"/>
      <c r="P835" s="83"/>
    </row>
    <row r="836">
      <c r="F836" s="83"/>
      <c r="G836" s="84"/>
      <c r="H836" s="83"/>
      <c r="K836" s="83"/>
      <c r="P836" s="83"/>
    </row>
    <row r="837">
      <c r="F837" s="83"/>
      <c r="G837" s="84"/>
      <c r="H837" s="83"/>
      <c r="K837" s="83"/>
      <c r="P837" s="83"/>
    </row>
    <row r="838">
      <c r="F838" s="83"/>
      <c r="G838" s="84"/>
      <c r="H838" s="83"/>
      <c r="K838" s="83"/>
      <c r="P838" s="83"/>
    </row>
    <row r="839">
      <c r="F839" s="83"/>
      <c r="G839" s="84"/>
      <c r="H839" s="83"/>
      <c r="K839" s="83"/>
      <c r="P839" s="83"/>
    </row>
    <row r="840">
      <c r="F840" s="83"/>
      <c r="G840" s="84"/>
      <c r="H840" s="83"/>
      <c r="K840" s="83"/>
      <c r="P840" s="83"/>
    </row>
    <row r="841">
      <c r="F841" s="83"/>
      <c r="G841" s="84"/>
      <c r="H841" s="83"/>
      <c r="K841" s="83"/>
      <c r="P841" s="83"/>
    </row>
    <row r="842">
      <c r="F842" s="83"/>
      <c r="G842" s="84"/>
      <c r="H842" s="83"/>
      <c r="K842" s="83"/>
      <c r="P842" s="83"/>
    </row>
    <row r="843">
      <c r="F843" s="83"/>
      <c r="G843" s="84"/>
      <c r="H843" s="83"/>
      <c r="K843" s="83"/>
      <c r="P843" s="83"/>
    </row>
    <row r="844">
      <c r="F844" s="83"/>
      <c r="G844" s="84"/>
      <c r="H844" s="83"/>
      <c r="K844" s="83"/>
      <c r="P844" s="83"/>
    </row>
    <row r="845">
      <c r="F845" s="83"/>
      <c r="G845" s="84"/>
      <c r="H845" s="83"/>
      <c r="K845" s="83"/>
      <c r="P845" s="83"/>
    </row>
    <row r="846">
      <c r="F846" s="83"/>
      <c r="G846" s="84"/>
      <c r="H846" s="83"/>
      <c r="K846" s="83"/>
      <c r="P846" s="83"/>
    </row>
    <row r="847">
      <c r="F847" s="83"/>
      <c r="G847" s="84"/>
      <c r="H847" s="83"/>
      <c r="K847" s="83"/>
      <c r="P847" s="83"/>
    </row>
    <row r="848">
      <c r="F848" s="83"/>
      <c r="G848" s="84"/>
      <c r="H848" s="83"/>
      <c r="K848" s="83"/>
      <c r="P848" s="83"/>
    </row>
    <row r="849">
      <c r="F849" s="83"/>
      <c r="G849" s="84"/>
      <c r="H849" s="83"/>
      <c r="K849" s="83"/>
      <c r="P849" s="83"/>
    </row>
    <row r="850">
      <c r="F850" s="83"/>
      <c r="G850" s="84"/>
      <c r="H850" s="83"/>
      <c r="K850" s="83"/>
      <c r="P850" s="83"/>
    </row>
    <row r="851">
      <c r="F851" s="83"/>
      <c r="G851" s="84"/>
      <c r="H851" s="83"/>
      <c r="K851" s="83"/>
      <c r="P851" s="83"/>
    </row>
    <row r="852">
      <c r="F852" s="83"/>
      <c r="G852" s="84"/>
      <c r="H852" s="83"/>
      <c r="K852" s="83"/>
      <c r="P852" s="83"/>
    </row>
    <row r="853">
      <c r="F853" s="83"/>
      <c r="G853" s="84"/>
      <c r="H853" s="83"/>
      <c r="K853" s="83"/>
      <c r="P853" s="83"/>
    </row>
    <row r="854">
      <c r="F854" s="83"/>
      <c r="G854" s="84"/>
      <c r="H854" s="83"/>
      <c r="K854" s="83"/>
      <c r="P854" s="83"/>
    </row>
    <row r="855">
      <c r="F855" s="83"/>
      <c r="G855" s="84"/>
      <c r="H855" s="83"/>
      <c r="K855" s="83"/>
      <c r="P855" s="83"/>
    </row>
    <row r="856">
      <c r="F856" s="83"/>
      <c r="G856" s="84"/>
      <c r="H856" s="83"/>
      <c r="K856" s="83"/>
      <c r="P856" s="83"/>
    </row>
    <row r="857">
      <c r="F857" s="83"/>
      <c r="G857" s="84"/>
      <c r="H857" s="83"/>
      <c r="K857" s="83"/>
      <c r="P857" s="83"/>
    </row>
    <row r="858">
      <c r="F858" s="83"/>
      <c r="G858" s="84"/>
      <c r="H858" s="83"/>
      <c r="K858" s="83"/>
      <c r="P858" s="83"/>
    </row>
    <row r="859">
      <c r="F859" s="83"/>
      <c r="G859" s="84"/>
      <c r="H859" s="83"/>
      <c r="K859" s="83"/>
      <c r="P859" s="83"/>
    </row>
    <row r="860">
      <c r="F860" s="83"/>
      <c r="G860" s="84"/>
      <c r="H860" s="83"/>
      <c r="K860" s="83"/>
      <c r="P860" s="83"/>
    </row>
    <row r="861">
      <c r="F861" s="83"/>
      <c r="G861" s="84"/>
      <c r="H861" s="83"/>
      <c r="K861" s="83"/>
      <c r="P861" s="83"/>
    </row>
    <row r="862">
      <c r="F862" s="83"/>
      <c r="G862" s="84"/>
      <c r="H862" s="83"/>
      <c r="K862" s="83"/>
      <c r="P862" s="83"/>
    </row>
    <row r="863">
      <c r="F863" s="83"/>
      <c r="G863" s="84"/>
      <c r="H863" s="83"/>
      <c r="K863" s="83"/>
      <c r="P863" s="83"/>
    </row>
    <row r="864">
      <c r="F864" s="83"/>
      <c r="G864" s="84"/>
      <c r="H864" s="83"/>
      <c r="K864" s="83"/>
      <c r="P864" s="83"/>
    </row>
    <row r="865">
      <c r="F865" s="83"/>
      <c r="G865" s="84"/>
      <c r="H865" s="83"/>
      <c r="K865" s="83"/>
      <c r="P865" s="83"/>
    </row>
    <row r="866">
      <c r="F866" s="83"/>
      <c r="G866" s="84"/>
      <c r="H866" s="83"/>
      <c r="K866" s="83"/>
      <c r="P866" s="83"/>
    </row>
    <row r="867">
      <c r="F867" s="83"/>
      <c r="G867" s="84"/>
      <c r="H867" s="83"/>
      <c r="K867" s="83"/>
      <c r="P867" s="83"/>
    </row>
    <row r="868">
      <c r="F868" s="83"/>
      <c r="G868" s="84"/>
      <c r="H868" s="83"/>
      <c r="K868" s="83"/>
      <c r="P868" s="83"/>
    </row>
    <row r="869">
      <c r="F869" s="83"/>
      <c r="G869" s="84"/>
      <c r="H869" s="83"/>
      <c r="K869" s="83"/>
      <c r="P869" s="83"/>
    </row>
    <row r="870">
      <c r="F870" s="83"/>
      <c r="G870" s="84"/>
      <c r="H870" s="83"/>
      <c r="K870" s="83"/>
      <c r="P870" s="83"/>
    </row>
    <row r="871">
      <c r="F871" s="83"/>
      <c r="G871" s="84"/>
      <c r="H871" s="83"/>
      <c r="K871" s="83"/>
      <c r="P871" s="83"/>
    </row>
    <row r="872">
      <c r="F872" s="83"/>
      <c r="G872" s="84"/>
      <c r="H872" s="83"/>
      <c r="K872" s="83"/>
      <c r="P872" s="83"/>
    </row>
    <row r="873">
      <c r="F873" s="83"/>
      <c r="G873" s="84"/>
      <c r="H873" s="83"/>
      <c r="K873" s="83"/>
      <c r="P873" s="83"/>
    </row>
    <row r="874">
      <c r="F874" s="83"/>
      <c r="G874" s="84"/>
      <c r="H874" s="83"/>
      <c r="K874" s="83"/>
      <c r="P874" s="83"/>
    </row>
    <row r="875">
      <c r="F875" s="83"/>
      <c r="G875" s="84"/>
      <c r="H875" s="83"/>
      <c r="K875" s="83"/>
      <c r="P875" s="83"/>
    </row>
    <row r="876">
      <c r="F876" s="83"/>
      <c r="G876" s="84"/>
      <c r="H876" s="83"/>
      <c r="K876" s="83"/>
      <c r="P876" s="83"/>
    </row>
    <row r="877">
      <c r="F877" s="83"/>
      <c r="G877" s="84"/>
      <c r="H877" s="83"/>
      <c r="K877" s="83"/>
      <c r="P877" s="83"/>
    </row>
    <row r="878">
      <c r="F878" s="83"/>
      <c r="G878" s="84"/>
      <c r="H878" s="83"/>
      <c r="K878" s="83"/>
      <c r="P878" s="83"/>
    </row>
    <row r="879">
      <c r="F879" s="83"/>
      <c r="G879" s="84"/>
      <c r="H879" s="83"/>
      <c r="K879" s="83"/>
      <c r="P879" s="83"/>
    </row>
    <row r="880">
      <c r="F880" s="83"/>
      <c r="G880" s="84"/>
      <c r="H880" s="83"/>
      <c r="K880" s="83"/>
      <c r="P880" s="83"/>
    </row>
    <row r="881">
      <c r="F881" s="83"/>
      <c r="G881" s="84"/>
      <c r="H881" s="83"/>
      <c r="K881" s="83"/>
      <c r="P881" s="83"/>
    </row>
    <row r="882">
      <c r="F882" s="83"/>
      <c r="G882" s="84"/>
      <c r="H882" s="83"/>
      <c r="K882" s="83"/>
      <c r="P882" s="83"/>
    </row>
    <row r="883">
      <c r="F883" s="83"/>
      <c r="G883" s="84"/>
      <c r="H883" s="83"/>
      <c r="K883" s="83"/>
      <c r="P883" s="83"/>
    </row>
    <row r="884">
      <c r="F884" s="83"/>
      <c r="G884" s="84"/>
      <c r="H884" s="83"/>
      <c r="K884" s="83"/>
      <c r="P884" s="83"/>
    </row>
    <row r="885">
      <c r="F885" s="83"/>
      <c r="G885" s="84"/>
      <c r="H885" s="83"/>
      <c r="K885" s="83"/>
      <c r="P885" s="83"/>
    </row>
    <row r="886">
      <c r="F886" s="83"/>
      <c r="G886" s="84"/>
      <c r="H886" s="83"/>
      <c r="K886" s="83"/>
      <c r="P886" s="83"/>
    </row>
    <row r="887">
      <c r="F887" s="83"/>
      <c r="G887" s="84"/>
      <c r="H887" s="83"/>
      <c r="K887" s="83"/>
      <c r="P887" s="83"/>
    </row>
    <row r="888">
      <c r="F888" s="83"/>
      <c r="G888" s="84"/>
      <c r="H888" s="83"/>
      <c r="K888" s="83"/>
      <c r="P888" s="83"/>
    </row>
    <row r="889">
      <c r="F889" s="83"/>
      <c r="G889" s="84"/>
      <c r="H889" s="83"/>
      <c r="K889" s="83"/>
      <c r="P889" s="83"/>
    </row>
    <row r="890">
      <c r="F890" s="83"/>
      <c r="G890" s="84"/>
      <c r="H890" s="83"/>
      <c r="K890" s="83"/>
      <c r="P890" s="83"/>
    </row>
    <row r="891">
      <c r="F891" s="83"/>
      <c r="G891" s="84"/>
      <c r="H891" s="83"/>
      <c r="K891" s="83"/>
      <c r="P891" s="83"/>
    </row>
    <row r="892">
      <c r="F892" s="83"/>
      <c r="G892" s="84"/>
      <c r="H892" s="83"/>
      <c r="K892" s="83"/>
      <c r="P892" s="83"/>
    </row>
    <row r="893">
      <c r="F893" s="83"/>
      <c r="G893" s="84"/>
      <c r="H893" s="83"/>
      <c r="K893" s="83"/>
      <c r="P893" s="83"/>
    </row>
    <row r="894">
      <c r="F894" s="83"/>
      <c r="G894" s="84"/>
      <c r="H894" s="83"/>
      <c r="K894" s="83"/>
      <c r="P894" s="83"/>
    </row>
    <row r="895">
      <c r="F895" s="83"/>
      <c r="G895" s="84"/>
      <c r="H895" s="83"/>
      <c r="K895" s="83"/>
      <c r="P895" s="83"/>
    </row>
    <row r="896">
      <c r="F896" s="83"/>
      <c r="G896" s="84"/>
      <c r="H896" s="83"/>
      <c r="K896" s="83"/>
      <c r="P896" s="83"/>
    </row>
    <row r="897">
      <c r="F897" s="83"/>
      <c r="G897" s="84"/>
      <c r="H897" s="83"/>
      <c r="K897" s="83"/>
      <c r="P897" s="83"/>
    </row>
    <row r="898">
      <c r="F898" s="83"/>
      <c r="G898" s="84"/>
      <c r="H898" s="83"/>
      <c r="K898" s="83"/>
      <c r="P898" s="83"/>
    </row>
    <row r="899">
      <c r="F899" s="83"/>
      <c r="G899" s="84"/>
      <c r="H899" s="83"/>
      <c r="K899" s="83"/>
      <c r="P899" s="83"/>
    </row>
    <row r="900">
      <c r="F900" s="83"/>
      <c r="G900" s="84"/>
      <c r="H900" s="83"/>
      <c r="K900" s="83"/>
      <c r="P900" s="83"/>
    </row>
    <row r="901">
      <c r="F901" s="83"/>
      <c r="G901" s="84"/>
      <c r="H901" s="83"/>
      <c r="K901" s="83"/>
      <c r="P901" s="83"/>
    </row>
    <row r="902">
      <c r="F902" s="83"/>
      <c r="G902" s="84"/>
      <c r="H902" s="83"/>
      <c r="K902" s="83"/>
      <c r="P902" s="83"/>
    </row>
    <row r="903">
      <c r="F903" s="83"/>
      <c r="G903" s="84"/>
      <c r="H903" s="83"/>
      <c r="K903" s="83"/>
      <c r="P903" s="83"/>
    </row>
    <row r="904">
      <c r="F904" s="83"/>
      <c r="G904" s="84"/>
      <c r="H904" s="83"/>
      <c r="K904" s="83"/>
      <c r="P904" s="83"/>
    </row>
    <row r="905">
      <c r="F905" s="83"/>
      <c r="G905" s="84"/>
      <c r="H905" s="83"/>
      <c r="K905" s="83"/>
      <c r="P905" s="83"/>
    </row>
    <row r="906">
      <c r="F906" s="83"/>
      <c r="G906" s="84"/>
      <c r="H906" s="83"/>
      <c r="K906" s="83"/>
      <c r="P906" s="83"/>
    </row>
    <row r="907">
      <c r="F907" s="83"/>
      <c r="G907" s="84"/>
      <c r="H907" s="83"/>
      <c r="K907" s="83"/>
      <c r="P907" s="83"/>
    </row>
    <row r="908">
      <c r="F908" s="83"/>
      <c r="G908" s="84"/>
      <c r="H908" s="83"/>
      <c r="K908" s="83"/>
      <c r="P908" s="83"/>
    </row>
    <row r="909">
      <c r="F909" s="83"/>
      <c r="G909" s="84"/>
      <c r="H909" s="83"/>
      <c r="K909" s="83"/>
      <c r="P909" s="83"/>
    </row>
    <row r="910">
      <c r="F910" s="83"/>
      <c r="G910" s="84"/>
      <c r="H910" s="83"/>
      <c r="K910" s="83"/>
      <c r="P910" s="83"/>
    </row>
    <row r="911">
      <c r="F911" s="83"/>
      <c r="G911" s="84"/>
      <c r="H911" s="83"/>
      <c r="K911" s="83"/>
      <c r="P911" s="83"/>
    </row>
    <row r="912">
      <c r="F912" s="83"/>
      <c r="G912" s="84"/>
      <c r="H912" s="83"/>
      <c r="K912" s="83"/>
      <c r="P912" s="83"/>
    </row>
    <row r="913">
      <c r="F913" s="83"/>
      <c r="G913" s="84"/>
      <c r="H913" s="83"/>
      <c r="K913" s="83"/>
      <c r="P913" s="83"/>
    </row>
    <row r="914">
      <c r="F914" s="83"/>
      <c r="G914" s="84"/>
      <c r="H914" s="83"/>
      <c r="K914" s="83"/>
      <c r="P914" s="83"/>
    </row>
    <row r="915">
      <c r="F915" s="83"/>
      <c r="G915" s="84"/>
      <c r="H915" s="83"/>
      <c r="K915" s="83"/>
      <c r="P915" s="83"/>
    </row>
    <row r="916">
      <c r="F916" s="83"/>
      <c r="G916" s="84"/>
      <c r="H916" s="83"/>
      <c r="K916" s="83"/>
      <c r="P916" s="83"/>
    </row>
    <row r="917">
      <c r="F917" s="83"/>
      <c r="G917" s="84"/>
      <c r="H917" s="83"/>
      <c r="K917" s="83"/>
      <c r="P917" s="83"/>
    </row>
    <row r="918">
      <c r="F918" s="83"/>
      <c r="G918" s="84"/>
      <c r="H918" s="83"/>
      <c r="K918" s="83"/>
      <c r="P918" s="83"/>
    </row>
    <row r="919">
      <c r="F919" s="83"/>
      <c r="G919" s="84"/>
      <c r="H919" s="83"/>
      <c r="K919" s="83"/>
      <c r="P919" s="83"/>
    </row>
    <row r="920">
      <c r="F920" s="83"/>
      <c r="G920" s="84"/>
      <c r="H920" s="83"/>
      <c r="K920" s="83"/>
      <c r="P920" s="83"/>
    </row>
    <row r="921">
      <c r="F921" s="83"/>
      <c r="G921" s="84"/>
      <c r="H921" s="83"/>
      <c r="K921" s="83"/>
      <c r="P921" s="83"/>
    </row>
    <row r="922">
      <c r="F922" s="83"/>
      <c r="G922" s="84"/>
      <c r="H922" s="83"/>
      <c r="K922" s="83"/>
      <c r="P922" s="83"/>
    </row>
    <row r="923">
      <c r="F923" s="83"/>
      <c r="G923" s="84"/>
      <c r="H923" s="83"/>
      <c r="K923" s="83"/>
      <c r="P923" s="83"/>
    </row>
    <row r="924">
      <c r="F924" s="83"/>
      <c r="G924" s="84"/>
      <c r="H924" s="83"/>
      <c r="K924" s="83"/>
      <c r="P924" s="83"/>
    </row>
    <row r="925">
      <c r="F925" s="83"/>
      <c r="G925" s="84"/>
      <c r="H925" s="83"/>
      <c r="K925" s="83"/>
      <c r="P925" s="83"/>
    </row>
    <row r="926">
      <c r="F926" s="83"/>
      <c r="G926" s="84"/>
      <c r="H926" s="83"/>
      <c r="K926" s="83"/>
      <c r="P926" s="83"/>
    </row>
    <row r="927">
      <c r="F927" s="83"/>
      <c r="G927" s="84"/>
      <c r="H927" s="83"/>
      <c r="K927" s="83"/>
      <c r="P927" s="83"/>
    </row>
    <row r="928">
      <c r="F928" s="83"/>
      <c r="G928" s="84"/>
      <c r="H928" s="83"/>
      <c r="K928" s="83"/>
      <c r="P928" s="83"/>
    </row>
    <row r="929">
      <c r="F929" s="83"/>
      <c r="G929" s="84"/>
      <c r="H929" s="83"/>
      <c r="K929" s="83"/>
      <c r="P929" s="83"/>
    </row>
    <row r="930">
      <c r="F930" s="83"/>
      <c r="G930" s="84"/>
      <c r="H930" s="83"/>
      <c r="K930" s="83"/>
      <c r="P930" s="83"/>
    </row>
    <row r="931">
      <c r="F931" s="83"/>
      <c r="G931" s="84"/>
      <c r="H931" s="83"/>
      <c r="K931" s="83"/>
      <c r="P931" s="83"/>
    </row>
    <row r="932">
      <c r="F932" s="83"/>
      <c r="G932" s="84"/>
      <c r="H932" s="83"/>
      <c r="K932" s="83"/>
      <c r="P932" s="83"/>
    </row>
    <row r="933">
      <c r="F933" s="83"/>
      <c r="G933" s="84"/>
      <c r="H933" s="83"/>
      <c r="K933" s="83"/>
      <c r="P933" s="83"/>
    </row>
    <row r="934">
      <c r="F934" s="83"/>
      <c r="G934" s="84"/>
      <c r="H934" s="83"/>
      <c r="K934" s="83"/>
      <c r="P934" s="83"/>
    </row>
    <row r="935">
      <c r="F935" s="83"/>
      <c r="G935" s="84"/>
      <c r="H935" s="83"/>
      <c r="K935" s="83"/>
      <c r="P935" s="83"/>
    </row>
    <row r="936">
      <c r="F936" s="83"/>
      <c r="G936" s="84"/>
      <c r="H936" s="83"/>
      <c r="K936" s="83"/>
      <c r="P936" s="83"/>
    </row>
    <row r="937">
      <c r="F937" s="83"/>
      <c r="G937" s="84"/>
      <c r="H937" s="83"/>
      <c r="K937" s="83"/>
      <c r="P937" s="83"/>
    </row>
    <row r="938">
      <c r="F938" s="83"/>
      <c r="G938" s="84"/>
      <c r="H938" s="83"/>
      <c r="K938" s="83"/>
      <c r="P938" s="83"/>
    </row>
    <row r="939">
      <c r="F939" s="83"/>
      <c r="G939" s="84"/>
      <c r="H939" s="83"/>
      <c r="K939" s="83"/>
      <c r="P939" s="83"/>
    </row>
    <row r="940">
      <c r="F940" s="83"/>
      <c r="G940" s="84"/>
      <c r="H940" s="83"/>
      <c r="K940" s="83"/>
      <c r="P940" s="83"/>
    </row>
    <row r="941">
      <c r="F941" s="83"/>
      <c r="G941" s="84"/>
      <c r="H941" s="83"/>
      <c r="K941" s="83"/>
      <c r="P941" s="83"/>
    </row>
    <row r="942">
      <c r="F942" s="83"/>
      <c r="G942" s="84"/>
      <c r="H942" s="83"/>
      <c r="K942" s="83"/>
      <c r="P942" s="83"/>
    </row>
    <row r="943">
      <c r="F943" s="83"/>
      <c r="G943" s="84"/>
      <c r="H943" s="83"/>
      <c r="K943" s="83"/>
      <c r="P943" s="83"/>
    </row>
    <row r="944">
      <c r="F944" s="83"/>
      <c r="G944" s="84"/>
      <c r="H944" s="83"/>
      <c r="K944" s="83"/>
      <c r="P944" s="83"/>
    </row>
    <row r="945">
      <c r="F945" s="83"/>
      <c r="G945" s="84"/>
      <c r="H945" s="83"/>
      <c r="K945" s="83"/>
      <c r="P945" s="83"/>
    </row>
    <row r="946">
      <c r="F946" s="83"/>
      <c r="G946" s="84"/>
      <c r="H946" s="83"/>
      <c r="K946" s="83"/>
      <c r="P946" s="83"/>
    </row>
    <row r="947">
      <c r="F947" s="83"/>
      <c r="G947" s="84"/>
      <c r="H947" s="83"/>
      <c r="K947" s="83"/>
      <c r="P947" s="83"/>
    </row>
    <row r="948">
      <c r="F948" s="83"/>
      <c r="G948" s="84"/>
      <c r="H948" s="83"/>
      <c r="K948" s="83"/>
      <c r="P948" s="83"/>
    </row>
    <row r="949">
      <c r="F949" s="83"/>
      <c r="G949" s="84"/>
      <c r="H949" s="83"/>
      <c r="K949" s="83"/>
      <c r="P949" s="83"/>
    </row>
    <row r="950">
      <c r="F950" s="83"/>
      <c r="G950" s="84"/>
      <c r="H950" s="83"/>
      <c r="K950" s="83"/>
      <c r="P950" s="83"/>
    </row>
    <row r="951">
      <c r="F951" s="83"/>
      <c r="G951" s="84"/>
      <c r="H951" s="83"/>
      <c r="K951" s="83"/>
      <c r="P951" s="83"/>
    </row>
    <row r="952">
      <c r="F952" s="83"/>
      <c r="G952" s="84"/>
      <c r="H952" s="83"/>
      <c r="K952" s="83"/>
      <c r="P952" s="83"/>
    </row>
    <row r="953">
      <c r="F953" s="83"/>
      <c r="G953" s="84"/>
      <c r="H953" s="83"/>
      <c r="K953" s="83"/>
      <c r="P953" s="83"/>
    </row>
    <row r="954">
      <c r="F954" s="83"/>
      <c r="G954" s="84"/>
      <c r="H954" s="83"/>
      <c r="K954" s="83"/>
      <c r="P954" s="83"/>
    </row>
    <row r="955">
      <c r="F955" s="83"/>
      <c r="G955" s="84"/>
      <c r="H955" s="83"/>
      <c r="K955" s="83"/>
      <c r="P955" s="83"/>
    </row>
    <row r="956">
      <c r="F956" s="83"/>
      <c r="G956" s="84"/>
      <c r="H956" s="83"/>
      <c r="K956" s="83"/>
      <c r="P956" s="83"/>
    </row>
    <row r="957">
      <c r="F957" s="83"/>
      <c r="G957" s="84"/>
      <c r="H957" s="83"/>
      <c r="K957" s="83"/>
      <c r="P957" s="83"/>
    </row>
    <row r="958">
      <c r="F958" s="83"/>
      <c r="G958" s="84"/>
      <c r="H958" s="83"/>
      <c r="K958" s="83"/>
      <c r="P958" s="83"/>
    </row>
    <row r="959">
      <c r="F959" s="83"/>
      <c r="G959" s="84"/>
      <c r="H959" s="83"/>
      <c r="K959" s="83"/>
      <c r="P959" s="83"/>
    </row>
    <row r="960">
      <c r="F960" s="83"/>
      <c r="G960" s="84"/>
      <c r="H960" s="83"/>
      <c r="K960" s="83"/>
      <c r="P960" s="83"/>
    </row>
    <row r="961">
      <c r="F961" s="83"/>
      <c r="G961" s="84"/>
      <c r="H961" s="83"/>
      <c r="K961" s="83"/>
      <c r="P961" s="83"/>
    </row>
    <row r="962">
      <c r="F962" s="83"/>
      <c r="G962" s="84"/>
      <c r="H962" s="83"/>
      <c r="K962" s="83"/>
      <c r="P962" s="83"/>
    </row>
    <row r="963">
      <c r="F963" s="83"/>
      <c r="G963" s="84"/>
      <c r="H963" s="83"/>
      <c r="K963" s="83"/>
      <c r="P963" s="83"/>
    </row>
    <row r="964">
      <c r="F964" s="83"/>
      <c r="G964" s="84"/>
      <c r="H964" s="83"/>
      <c r="K964" s="83"/>
      <c r="P964" s="83"/>
    </row>
    <row r="965">
      <c r="F965" s="83"/>
      <c r="G965" s="84"/>
      <c r="H965" s="83"/>
      <c r="K965" s="83"/>
      <c r="P965" s="83"/>
    </row>
    <row r="966">
      <c r="F966" s="83"/>
      <c r="G966" s="84"/>
      <c r="H966" s="83"/>
      <c r="K966" s="83"/>
      <c r="P966" s="83"/>
    </row>
    <row r="967">
      <c r="F967" s="83"/>
      <c r="G967" s="84"/>
      <c r="H967" s="83"/>
      <c r="K967" s="83"/>
      <c r="P967" s="83"/>
    </row>
    <row r="968">
      <c r="F968" s="83"/>
      <c r="G968" s="84"/>
      <c r="H968" s="83"/>
      <c r="K968" s="83"/>
      <c r="P968" s="83"/>
    </row>
    <row r="969">
      <c r="F969" s="83"/>
      <c r="G969" s="84"/>
      <c r="H969" s="83"/>
      <c r="K969" s="83"/>
      <c r="P969" s="83"/>
    </row>
    <row r="970">
      <c r="F970" s="83"/>
      <c r="G970" s="84"/>
      <c r="H970" s="83"/>
      <c r="K970" s="83"/>
      <c r="P970" s="83"/>
    </row>
    <row r="971">
      <c r="F971" s="83"/>
      <c r="G971" s="84"/>
      <c r="H971" s="83"/>
      <c r="K971" s="83"/>
      <c r="P971" s="83"/>
    </row>
    <row r="972">
      <c r="F972" s="83"/>
      <c r="G972" s="84"/>
      <c r="H972" s="83"/>
      <c r="K972" s="83"/>
      <c r="P972" s="83"/>
    </row>
    <row r="973">
      <c r="F973" s="83"/>
      <c r="G973" s="84"/>
      <c r="H973" s="83"/>
      <c r="K973" s="83"/>
      <c r="P973" s="83"/>
    </row>
    <row r="974">
      <c r="F974" s="83"/>
      <c r="G974" s="84"/>
      <c r="H974" s="83"/>
      <c r="K974" s="83"/>
      <c r="P974" s="83"/>
    </row>
    <row r="975">
      <c r="F975" s="83"/>
      <c r="G975" s="84"/>
      <c r="H975" s="83"/>
      <c r="K975" s="83"/>
      <c r="P975" s="83"/>
    </row>
    <row r="976">
      <c r="F976" s="83"/>
      <c r="G976" s="84"/>
      <c r="H976" s="83"/>
      <c r="K976" s="83"/>
      <c r="P976" s="83"/>
    </row>
    <row r="977">
      <c r="F977" s="83"/>
      <c r="G977" s="84"/>
      <c r="H977" s="83"/>
      <c r="K977" s="83"/>
      <c r="P977" s="83"/>
    </row>
    <row r="978">
      <c r="F978" s="83"/>
      <c r="G978" s="84"/>
      <c r="H978" s="83"/>
      <c r="K978" s="83"/>
      <c r="P978" s="83"/>
    </row>
    <row r="979">
      <c r="F979" s="83"/>
      <c r="G979" s="84"/>
      <c r="H979" s="83"/>
      <c r="K979" s="83"/>
      <c r="P979" s="83"/>
    </row>
    <row r="980">
      <c r="F980" s="83"/>
      <c r="G980" s="84"/>
      <c r="H980" s="83"/>
      <c r="K980" s="83"/>
      <c r="P980" s="83"/>
    </row>
    <row r="981">
      <c r="F981" s="83"/>
      <c r="G981" s="84"/>
      <c r="H981" s="83"/>
      <c r="K981" s="83"/>
      <c r="P981" s="83"/>
    </row>
    <row r="982">
      <c r="F982" s="83"/>
      <c r="G982" s="84"/>
      <c r="H982" s="83"/>
      <c r="K982" s="83"/>
      <c r="P982" s="83"/>
    </row>
    <row r="983">
      <c r="F983" s="83"/>
      <c r="G983" s="84"/>
      <c r="H983" s="83"/>
      <c r="K983" s="83"/>
      <c r="P983" s="83"/>
    </row>
    <row r="984">
      <c r="F984" s="83"/>
      <c r="G984" s="84"/>
      <c r="H984" s="83"/>
      <c r="K984" s="83"/>
      <c r="P984" s="83"/>
    </row>
    <row r="985">
      <c r="F985" s="83"/>
      <c r="G985" s="84"/>
      <c r="H985" s="83"/>
      <c r="K985" s="83"/>
      <c r="P985" s="83"/>
    </row>
    <row r="986">
      <c r="F986" s="83"/>
      <c r="G986" s="84"/>
      <c r="H986" s="83"/>
      <c r="K986" s="83"/>
      <c r="P986" s="83"/>
    </row>
    <row r="987">
      <c r="F987" s="83"/>
      <c r="G987" s="84"/>
      <c r="H987" s="83"/>
      <c r="K987" s="83"/>
      <c r="P987" s="83"/>
    </row>
    <row r="988">
      <c r="F988" s="83"/>
      <c r="G988" s="84"/>
      <c r="H988" s="83"/>
      <c r="K988" s="83"/>
      <c r="P988" s="83"/>
    </row>
    <row r="989">
      <c r="F989" s="83"/>
      <c r="G989" s="84"/>
      <c r="H989" s="83"/>
      <c r="K989" s="83"/>
      <c r="P989" s="83"/>
    </row>
    <row r="990">
      <c r="F990" s="83"/>
      <c r="G990" s="84"/>
      <c r="H990" s="83"/>
      <c r="K990" s="83"/>
      <c r="P990" s="83"/>
    </row>
    <row r="991">
      <c r="F991" s="83"/>
      <c r="G991" s="84"/>
      <c r="H991" s="83"/>
      <c r="K991" s="83"/>
      <c r="P991" s="83"/>
    </row>
    <row r="992">
      <c r="F992" s="83"/>
      <c r="G992" s="84"/>
      <c r="H992" s="83"/>
      <c r="K992" s="83"/>
      <c r="P992" s="83"/>
    </row>
    <row r="993">
      <c r="F993" s="83"/>
      <c r="G993" s="84"/>
      <c r="H993" s="83"/>
      <c r="K993" s="83"/>
      <c r="P993" s="83"/>
    </row>
    <row r="994">
      <c r="F994" s="83"/>
      <c r="G994" s="84"/>
      <c r="H994" s="83"/>
      <c r="K994" s="83"/>
      <c r="P994" s="83"/>
    </row>
    <row r="995">
      <c r="F995" s="83"/>
      <c r="G995" s="84"/>
      <c r="H995" s="83"/>
      <c r="K995" s="83"/>
      <c r="P995" s="83"/>
    </row>
    <row r="996">
      <c r="F996" s="83"/>
      <c r="G996" s="84"/>
      <c r="H996" s="83"/>
      <c r="K996" s="83"/>
      <c r="P996" s="83"/>
    </row>
    <row r="997">
      <c r="F997" s="83"/>
      <c r="G997" s="84"/>
      <c r="H997" s="83"/>
      <c r="K997" s="83"/>
      <c r="P997" s="83"/>
    </row>
    <row r="998">
      <c r="F998" s="83"/>
      <c r="G998" s="84"/>
      <c r="H998" s="83"/>
      <c r="K998" s="83"/>
      <c r="P998" s="83"/>
    </row>
    <row r="999">
      <c r="F999" s="83"/>
      <c r="G999" s="84"/>
      <c r="H999" s="83"/>
      <c r="K999" s="83"/>
      <c r="P999" s="83"/>
    </row>
    <row r="1000">
      <c r="F1000" s="83"/>
      <c r="G1000" s="84"/>
      <c r="H1000" s="83"/>
      <c r="K1000" s="83"/>
      <c r="P1000" s="83"/>
    </row>
    <row r="1001">
      <c r="F1001" s="83"/>
      <c r="G1001" s="84"/>
      <c r="H1001" s="83"/>
      <c r="K1001" s="83"/>
      <c r="P1001" s="83"/>
    </row>
  </sheetData>
  <mergeCells count="14">
    <mergeCell ref="Q5:V5"/>
    <mergeCell ref="Q7:Q8"/>
    <mergeCell ref="R7:R8"/>
    <mergeCell ref="S7:S8"/>
    <mergeCell ref="T7:T8"/>
    <mergeCell ref="U7:U8"/>
    <mergeCell ref="V7:V8"/>
    <mergeCell ref="E1:P1"/>
    <mergeCell ref="Q1:X1"/>
    <mergeCell ref="E2:P2"/>
    <mergeCell ref="C3:F3"/>
    <mergeCell ref="G3:H3"/>
    <mergeCell ref="I3:K3"/>
    <mergeCell ref="L3:P3"/>
  </mergeCells>
  <hyperlinks>
    <hyperlink r:id="rId1" ref="I5"/>
    <hyperlink r:id="rId2" ref="I6"/>
    <hyperlink r:id="rId3" ref="I7"/>
    <hyperlink r:id="rId4" ref="I8"/>
    <hyperlink r:id="rId5" ref="I9"/>
    <hyperlink r:id="rId6" ref="I15"/>
    <hyperlink r:id="rId7" ref="I16"/>
    <hyperlink r:id="rId8" ref="I17"/>
    <hyperlink r:id="rId9" ref="I18"/>
    <hyperlink r:id="rId10" ref="I25"/>
    <hyperlink r:id="rId11" ref="I26"/>
    <hyperlink r:id="rId12" ref="I27"/>
    <hyperlink r:id="rId13" ref="I28"/>
    <hyperlink r:id="rId14" ref="I29"/>
    <hyperlink r:id="rId15" ref="I30"/>
    <hyperlink r:id="rId16" ref="I31"/>
    <hyperlink r:id="rId17" ref="I32"/>
    <hyperlink r:id="rId18" ref="I33"/>
    <hyperlink r:id="rId19" ref="I34"/>
    <hyperlink r:id="rId20" ref="I35"/>
    <hyperlink r:id="rId21" ref="I36"/>
    <hyperlink r:id="rId22" ref="I37"/>
    <hyperlink r:id="rId23" ref="I38"/>
    <hyperlink r:id="rId24" ref="I39"/>
    <hyperlink r:id="rId25" ref="I40"/>
    <hyperlink r:id="rId26" ref="I41"/>
    <hyperlink r:id="rId27" ref="I42"/>
    <hyperlink r:id="rId28" ref="I43"/>
    <hyperlink r:id="rId29" ref="I44"/>
    <hyperlink r:id="rId30" ref="I45"/>
    <hyperlink r:id="rId31" ref="I46"/>
    <hyperlink r:id="rId32" ref="I47"/>
    <hyperlink r:id="rId33" ref="I48"/>
    <hyperlink r:id="rId34" ref="I49"/>
    <hyperlink r:id="rId35" ref="I50"/>
    <hyperlink r:id="rId36" ref="I51"/>
    <hyperlink r:id="rId37" ref="I52"/>
    <hyperlink r:id="rId38" ref="I53"/>
    <hyperlink r:id="rId39" ref="I54"/>
    <hyperlink r:id="rId40" ref="I55"/>
    <hyperlink r:id="rId41" ref="I56"/>
    <hyperlink r:id="rId42" ref="I57"/>
    <hyperlink r:id="rId43" ref="I58"/>
    <hyperlink r:id="rId44" ref="I59"/>
    <hyperlink r:id="rId45" ref="I60"/>
    <hyperlink r:id="rId46" ref="I61"/>
    <hyperlink r:id="rId47" ref="I62"/>
    <hyperlink r:id="rId48" ref="I63"/>
    <hyperlink r:id="rId49" ref="I64"/>
  </hyperlinks>
  <drawing r:id="rId5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8" max="10" width="12.63"/>
    <col customWidth="1" min="11" max="11" width="10.25"/>
    <col customWidth="1" min="15" max="15" width="16.25"/>
    <col customWidth="1" min="16" max="16" width="17.38"/>
    <col customWidth="1" min="17" max="22" width="16.13"/>
    <col customWidth="1" min="23" max="23" width="17.0"/>
  </cols>
  <sheetData>
    <row r="1">
      <c r="A1" s="9"/>
      <c r="B1" s="9"/>
      <c r="C1" s="9"/>
      <c r="D1" s="9"/>
      <c r="E1" s="10"/>
      <c r="F1" s="10"/>
      <c r="G1" s="86" t="s">
        <v>636</v>
      </c>
      <c r="H1" s="20"/>
      <c r="I1" s="20"/>
      <c r="J1" s="20"/>
      <c r="K1" s="20"/>
      <c r="L1" s="20"/>
      <c r="M1" s="20"/>
      <c r="N1" s="20"/>
      <c r="O1" s="20"/>
      <c r="P1" s="21"/>
      <c r="Q1" s="87"/>
    </row>
    <row r="2">
      <c r="A2" s="15"/>
      <c r="B2" s="15"/>
      <c r="C2" s="15"/>
      <c r="D2" s="15"/>
      <c r="E2" s="15"/>
      <c r="F2" s="15"/>
      <c r="G2" s="88" t="s">
        <v>638</v>
      </c>
      <c r="H2" s="89"/>
      <c r="I2" s="89"/>
      <c r="J2" s="89"/>
      <c r="K2" s="89"/>
      <c r="L2" s="89"/>
      <c r="M2" s="89"/>
      <c r="N2" s="89"/>
      <c r="O2" s="89"/>
      <c r="P2" s="90"/>
      <c r="Q2" s="87"/>
      <c r="R2" s="91"/>
      <c r="S2" s="87"/>
      <c r="T2" s="91"/>
      <c r="U2" s="87"/>
      <c r="V2" s="91"/>
      <c r="W2" s="87"/>
      <c r="X2" s="91"/>
    </row>
    <row r="3">
      <c r="A3" s="86" t="s">
        <v>738</v>
      </c>
      <c r="B3" s="21"/>
      <c r="C3" s="22" t="s">
        <v>739</v>
      </c>
      <c r="D3" s="21"/>
      <c r="E3" s="19" t="s">
        <v>642</v>
      </c>
      <c r="F3" s="20"/>
      <c r="G3" s="20"/>
      <c r="H3" s="20"/>
      <c r="I3" s="20"/>
      <c r="J3" s="21"/>
      <c r="K3" s="92"/>
      <c r="L3" s="10" t="s">
        <v>645</v>
      </c>
      <c r="P3" s="11"/>
      <c r="Q3" s="93"/>
      <c r="R3" s="91"/>
      <c r="S3" s="87"/>
      <c r="T3" s="91"/>
      <c r="U3" s="87"/>
      <c r="V3" s="91"/>
      <c r="W3" s="87"/>
      <c r="X3" s="91"/>
    </row>
    <row r="4">
      <c r="A4" s="30" t="s">
        <v>740</v>
      </c>
      <c r="B4" s="29" t="s">
        <v>741</v>
      </c>
      <c r="C4" s="24" t="s">
        <v>649</v>
      </c>
      <c r="D4" s="25"/>
      <c r="E4" s="26" t="s">
        <v>742</v>
      </c>
      <c r="F4" s="27" t="s">
        <v>651</v>
      </c>
      <c r="G4" s="24" t="s">
        <v>652</v>
      </c>
      <c r="H4" s="24" t="s">
        <v>653</v>
      </c>
      <c r="I4" s="27" t="s">
        <v>743</v>
      </c>
      <c r="J4" s="29" t="s">
        <v>744</v>
      </c>
      <c r="K4" s="25" t="s">
        <v>658</v>
      </c>
      <c r="L4" s="24" t="s">
        <v>659</v>
      </c>
      <c r="M4" s="24" t="s">
        <v>660</v>
      </c>
      <c r="N4" s="24" t="s">
        <v>661</v>
      </c>
      <c r="O4" s="24" t="s">
        <v>662</v>
      </c>
      <c r="P4" s="27" t="s">
        <v>663</v>
      </c>
      <c r="Q4" s="93"/>
      <c r="R4" s="91"/>
      <c r="S4" s="87"/>
      <c r="T4" s="91"/>
      <c r="U4" s="87"/>
      <c r="V4" s="91"/>
      <c r="W4" s="87"/>
      <c r="X4" s="91"/>
    </row>
    <row r="5">
      <c r="A5" s="94"/>
      <c r="B5" s="94"/>
      <c r="C5" s="95" t="s">
        <v>403</v>
      </c>
      <c r="D5" s="58" t="s">
        <v>404</v>
      </c>
      <c r="E5" s="94"/>
      <c r="F5" s="96" t="s">
        <v>405</v>
      </c>
      <c r="G5" s="94" t="s">
        <v>402</v>
      </c>
      <c r="H5" s="44" t="s">
        <v>745</v>
      </c>
      <c r="I5" s="97" t="s">
        <v>745</v>
      </c>
      <c r="J5" s="98" t="s">
        <v>745</v>
      </c>
      <c r="K5" s="61" t="s">
        <v>674</v>
      </c>
      <c r="L5" s="96" t="s">
        <v>691</v>
      </c>
      <c r="M5" s="96" t="s">
        <v>409</v>
      </c>
      <c r="N5" s="96" t="s">
        <v>409</v>
      </c>
      <c r="O5" s="96" t="s">
        <v>689</v>
      </c>
      <c r="P5" s="99"/>
      <c r="Q5" s="94"/>
      <c r="R5" s="94"/>
      <c r="S5" s="100"/>
      <c r="T5" s="100"/>
      <c r="U5" s="100"/>
      <c r="V5" s="100"/>
      <c r="W5" s="100"/>
      <c r="X5" s="100"/>
      <c r="Y5" s="100"/>
    </row>
    <row r="6">
      <c r="A6" s="94"/>
      <c r="B6" s="94"/>
      <c r="C6" s="95" t="s">
        <v>316</v>
      </c>
      <c r="D6" s="58" t="s">
        <v>317</v>
      </c>
      <c r="E6" s="94"/>
      <c r="F6" s="96" t="s">
        <v>318</v>
      </c>
      <c r="G6" s="94" t="s">
        <v>315</v>
      </c>
      <c r="H6" s="44" t="s">
        <v>745</v>
      </c>
      <c r="I6" s="101" t="s">
        <v>745</v>
      </c>
      <c r="J6" s="102"/>
      <c r="K6" s="61" t="s">
        <v>674</v>
      </c>
      <c r="L6" s="96" t="s">
        <v>684</v>
      </c>
      <c r="M6" s="96" t="s">
        <v>40</v>
      </c>
      <c r="N6" s="96" t="s">
        <v>40</v>
      </c>
      <c r="O6" s="96" t="s">
        <v>676</v>
      </c>
      <c r="P6" s="99"/>
      <c r="Q6" s="94"/>
      <c r="R6" s="94"/>
      <c r="S6" s="100"/>
      <c r="T6" s="100"/>
      <c r="U6" s="100"/>
      <c r="V6" s="100"/>
      <c r="W6" s="100"/>
      <c r="X6" s="100"/>
      <c r="Y6" s="100"/>
    </row>
    <row r="7">
      <c r="A7" s="94"/>
      <c r="B7" s="94"/>
      <c r="C7" s="95" t="s">
        <v>28</v>
      </c>
      <c r="D7" s="58" t="s">
        <v>29</v>
      </c>
      <c r="E7" s="94"/>
      <c r="F7" s="96" t="s">
        <v>30</v>
      </c>
      <c r="G7" s="94" t="s">
        <v>27</v>
      </c>
      <c r="H7" s="44" t="s">
        <v>745</v>
      </c>
      <c r="I7" s="97" t="s">
        <v>745</v>
      </c>
      <c r="J7" s="98" t="s">
        <v>745</v>
      </c>
      <c r="K7" s="61" t="s">
        <v>674</v>
      </c>
      <c r="L7" s="96" t="s">
        <v>684</v>
      </c>
      <c r="M7" s="96" t="s">
        <v>40</v>
      </c>
      <c r="N7" s="96" t="s">
        <v>41</v>
      </c>
      <c r="O7" s="97" t="s">
        <v>676</v>
      </c>
      <c r="P7" s="103" t="s">
        <v>693</v>
      </c>
      <c r="Q7" s="94"/>
      <c r="R7" s="94"/>
      <c r="S7" s="100"/>
      <c r="T7" s="100"/>
      <c r="U7" s="100"/>
      <c r="V7" s="100"/>
      <c r="W7" s="100"/>
      <c r="X7" s="100"/>
      <c r="Y7" s="100"/>
    </row>
    <row r="8">
      <c r="A8" s="94"/>
      <c r="B8" s="94"/>
      <c r="C8" s="95" t="s">
        <v>461</v>
      </c>
      <c r="D8" s="58" t="s">
        <v>462</v>
      </c>
      <c r="E8" s="94"/>
      <c r="F8" s="96">
        <v>7.206010176E9</v>
      </c>
      <c r="G8" s="94" t="s">
        <v>460</v>
      </c>
      <c r="H8" s="44" t="s">
        <v>745</v>
      </c>
      <c r="I8" s="97" t="s">
        <v>745</v>
      </c>
      <c r="J8" s="98" t="s">
        <v>745</v>
      </c>
      <c r="K8" s="61" t="s">
        <v>674</v>
      </c>
      <c r="L8" s="96" t="s">
        <v>691</v>
      </c>
      <c r="M8" s="96" t="s">
        <v>159</v>
      </c>
      <c r="N8" s="96" t="s">
        <v>409</v>
      </c>
      <c r="O8" s="96" t="s">
        <v>676</v>
      </c>
      <c r="P8" s="99"/>
      <c r="Q8" s="94"/>
      <c r="R8" s="94"/>
      <c r="S8" s="100"/>
      <c r="T8" s="100"/>
      <c r="U8" s="100"/>
      <c r="V8" s="100"/>
      <c r="W8" s="100"/>
      <c r="X8" s="100"/>
      <c r="Y8" s="100"/>
    </row>
    <row r="9">
      <c r="A9" s="94"/>
      <c r="B9" s="94"/>
      <c r="C9" s="95" t="s">
        <v>327</v>
      </c>
      <c r="D9" s="58" t="s">
        <v>328</v>
      </c>
      <c r="E9" s="94"/>
      <c r="F9" s="96">
        <v>7.20470504E9</v>
      </c>
      <c r="G9" s="94" t="s">
        <v>326</v>
      </c>
      <c r="H9" s="44" t="s">
        <v>745</v>
      </c>
      <c r="I9" s="97" t="s">
        <v>745</v>
      </c>
      <c r="J9" s="98" t="s">
        <v>745</v>
      </c>
      <c r="K9" s="61" t="s">
        <v>674</v>
      </c>
      <c r="L9" s="96" t="s">
        <v>686</v>
      </c>
      <c r="M9" s="96" t="s">
        <v>40</v>
      </c>
      <c r="N9" s="96" t="s">
        <v>96</v>
      </c>
      <c r="O9" s="96" t="s">
        <v>676</v>
      </c>
      <c r="P9" s="99"/>
      <c r="Q9" s="94"/>
      <c r="R9" s="94"/>
      <c r="S9" s="100"/>
      <c r="T9" s="100"/>
      <c r="U9" s="100"/>
      <c r="V9" s="100"/>
      <c r="W9" s="100"/>
      <c r="X9" s="100"/>
      <c r="Y9" s="100"/>
    </row>
    <row r="10">
      <c r="A10" s="94"/>
      <c r="B10" s="94"/>
      <c r="C10" s="95" t="s">
        <v>336</v>
      </c>
      <c r="D10" s="58" t="s">
        <v>337</v>
      </c>
      <c r="E10" s="94"/>
      <c r="F10" s="96">
        <v>3.03856469E9</v>
      </c>
      <c r="G10" s="94" t="s">
        <v>335</v>
      </c>
      <c r="H10" s="44" t="s">
        <v>745</v>
      </c>
      <c r="I10" s="97" t="s">
        <v>745</v>
      </c>
      <c r="J10" s="104"/>
      <c r="K10" s="61" t="s">
        <v>674</v>
      </c>
      <c r="L10" s="96" t="s">
        <v>691</v>
      </c>
      <c r="M10" s="96" t="s">
        <v>96</v>
      </c>
      <c r="N10" s="96" t="s">
        <v>106</v>
      </c>
      <c r="O10" s="96" t="s">
        <v>689</v>
      </c>
      <c r="P10" s="99"/>
      <c r="Q10" s="94"/>
      <c r="R10" s="94"/>
      <c r="S10" s="100"/>
      <c r="T10" s="100"/>
      <c r="U10" s="100"/>
      <c r="V10" s="100"/>
      <c r="W10" s="100"/>
      <c r="X10" s="100"/>
      <c r="Y10" s="100"/>
    </row>
    <row r="11">
      <c r="A11" s="94"/>
      <c r="B11" s="94"/>
      <c r="C11" s="95" t="s">
        <v>414</v>
      </c>
      <c r="D11" s="58" t="s">
        <v>415</v>
      </c>
      <c r="E11" s="96" t="s">
        <v>746</v>
      </c>
      <c r="F11" s="96">
        <v>7.203342724E9</v>
      </c>
      <c r="G11" s="94" t="s">
        <v>413</v>
      </c>
      <c r="H11" s="44" t="s">
        <v>745</v>
      </c>
      <c r="I11" s="97" t="s">
        <v>745</v>
      </c>
      <c r="J11" s="98" t="s">
        <v>745</v>
      </c>
      <c r="K11" s="61" t="s">
        <v>674</v>
      </c>
      <c r="L11" s="96" t="s">
        <v>691</v>
      </c>
      <c r="M11" s="96" t="s">
        <v>106</v>
      </c>
      <c r="N11" s="96" t="s">
        <v>96</v>
      </c>
      <c r="O11" s="96" t="s">
        <v>689</v>
      </c>
      <c r="P11" s="99"/>
      <c r="Q11" s="94"/>
      <c r="R11" s="94"/>
      <c r="S11" s="100"/>
      <c r="T11" s="100"/>
      <c r="U11" s="100"/>
      <c r="V11" s="100"/>
      <c r="W11" s="100"/>
      <c r="X11" s="100"/>
      <c r="Y11" s="100"/>
    </row>
    <row r="12">
      <c r="A12" s="94"/>
      <c r="B12" s="94"/>
      <c r="C12" s="95" t="s">
        <v>46</v>
      </c>
      <c r="D12" s="58" t="s">
        <v>47</v>
      </c>
      <c r="E12" s="94"/>
      <c r="F12" s="96" t="s">
        <v>48</v>
      </c>
      <c r="G12" s="94" t="s">
        <v>45</v>
      </c>
      <c r="H12" s="44" t="s">
        <v>745</v>
      </c>
      <c r="I12" s="97" t="s">
        <v>745</v>
      </c>
      <c r="J12" s="98" t="s">
        <v>745</v>
      </c>
      <c r="K12" s="61" t="s">
        <v>674</v>
      </c>
      <c r="L12" s="96" t="s">
        <v>691</v>
      </c>
      <c r="M12" s="96" t="s">
        <v>40</v>
      </c>
      <c r="N12" s="96" t="s">
        <v>41</v>
      </c>
      <c r="O12" s="96" t="s">
        <v>689</v>
      </c>
      <c r="P12" s="99"/>
      <c r="Q12" s="94"/>
      <c r="R12" s="94"/>
      <c r="S12" s="100"/>
      <c r="T12" s="100"/>
      <c r="U12" s="100"/>
      <c r="V12" s="100"/>
      <c r="W12" s="100"/>
      <c r="X12" s="100"/>
      <c r="Y12" s="100"/>
    </row>
    <row r="13">
      <c r="A13" s="94"/>
      <c r="B13" s="94"/>
      <c r="C13" s="95" t="s">
        <v>346</v>
      </c>
      <c r="D13" s="58" t="s">
        <v>347</v>
      </c>
      <c r="E13" s="94"/>
      <c r="F13" s="96" t="s">
        <v>348</v>
      </c>
      <c r="G13" s="94" t="s">
        <v>345</v>
      </c>
      <c r="H13" s="44" t="s">
        <v>745</v>
      </c>
      <c r="I13" s="97" t="s">
        <v>745</v>
      </c>
      <c r="J13" s="98" t="s">
        <v>745</v>
      </c>
      <c r="K13" s="61" t="s">
        <v>674</v>
      </c>
      <c r="L13" s="96" t="s">
        <v>691</v>
      </c>
      <c r="M13" s="96" t="s">
        <v>159</v>
      </c>
      <c r="N13" s="96" t="s">
        <v>159</v>
      </c>
      <c r="O13" s="96" t="s">
        <v>689</v>
      </c>
      <c r="P13" s="99"/>
      <c r="Q13" s="94"/>
      <c r="R13" s="94"/>
      <c r="S13" s="100"/>
      <c r="T13" s="100"/>
      <c r="U13" s="100"/>
      <c r="V13" s="100"/>
      <c r="W13" s="100"/>
      <c r="X13" s="100"/>
      <c r="Y13" s="100"/>
    </row>
    <row r="14">
      <c r="A14" s="94"/>
      <c r="B14" s="94"/>
      <c r="C14" s="95" t="s">
        <v>423</v>
      </c>
      <c r="D14" s="58" t="s">
        <v>424</v>
      </c>
      <c r="E14" s="94"/>
      <c r="F14" s="96" t="s">
        <v>425</v>
      </c>
      <c r="G14" s="94" t="s">
        <v>422</v>
      </c>
      <c r="H14" s="44" t="s">
        <v>745</v>
      </c>
      <c r="I14" s="97" t="s">
        <v>745</v>
      </c>
      <c r="J14" s="98" t="s">
        <v>745</v>
      </c>
      <c r="K14" s="61" t="s">
        <v>674</v>
      </c>
      <c r="L14" s="96" t="s">
        <v>691</v>
      </c>
      <c r="M14" s="96" t="s">
        <v>96</v>
      </c>
      <c r="N14" s="96" t="s">
        <v>40</v>
      </c>
      <c r="O14" s="96" t="s">
        <v>689</v>
      </c>
      <c r="P14" s="99"/>
      <c r="Q14" s="94"/>
      <c r="R14" s="94"/>
      <c r="S14" s="100"/>
      <c r="T14" s="100"/>
      <c r="U14" s="100"/>
      <c r="V14" s="100"/>
      <c r="W14" s="100"/>
      <c r="X14" s="100"/>
      <c r="Y14" s="100"/>
    </row>
    <row r="15">
      <c r="A15" s="94"/>
      <c r="B15" s="94"/>
      <c r="C15" s="44" t="s">
        <v>747</v>
      </c>
      <c r="D15" s="58" t="s">
        <v>290</v>
      </c>
      <c r="E15" s="94" t="s">
        <v>355</v>
      </c>
      <c r="F15" s="96" t="s">
        <v>356</v>
      </c>
      <c r="G15" s="94" t="s">
        <v>354</v>
      </c>
      <c r="H15" s="44" t="s">
        <v>745</v>
      </c>
      <c r="I15" s="97" t="s">
        <v>745</v>
      </c>
      <c r="J15" s="98" t="s">
        <v>745</v>
      </c>
      <c r="K15" s="61" t="s">
        <v>674</v>
      </c>
      <c r="L15" s="96" t="s">
        <v>691</v>
      </c>
      <c r="M15" s="96" t="s">
        <v>40</v>
      </c>
      <c r="N15" s="96" t="s">
        <v>41</v>
      </c>
      <c r="O15" s="96" t="s">
        <v>689</v>
      </c>
      <c r="P15" s="99"/>
      <c r="Q15" s="94"/>
      <c r="R15" s="94"/>
      <c r="S15" s="100"/>
      <c r="T15" s="100"/>
      <c r="U15" s="100"/>
      <c r="V15" s="100"/>
      <c r="W15" s="100"/>
      <c r="X15" s="100"/>
      <c r="Y15" s="100"/>
    </row>
    <row r="16">
      <c r="A16" s="94"/>
      <c r="B16" s="94"/>
      <c r="C16" s="95" t="s">
        <v>364</v>
      </c>
      <c r="D16" s="58" t="s">
        <v>186</v>
      </c>
      <c r="E16" s="96" t="s">
        <v>748</v>
      </c>
      <c r="F16" s="96">
        <v>7.208055052E9</v>
      </c>
      <c r="G16" s="94" t="s">
        <v>363</v>
      </c>
      <c r="H16" s="44" t="s">
        <v>745</v>
      </c>
      <c r="I16" s="97" t="s">
        <v>745</v>
      </c>
      <c r="J16" s="98" t="s">
        <v>745</v>
      </c>
      <c r="K16" s="61" t="s">
        <v>674</v>
      </c>
      <c r="L16" s="96" t="s">
        <v>686</v>
      </c>
      <c r="M16" s="96" t="s">
        <v>40</v>
      </c>
      <c r="N16" s="96" t="s">
        <v>96</v>
      </c>
      <c r="O16" s="96" t="s">
        <v>689</v>
      </c>
      <c r="P16" s="99"/>
      <c r="Q16" s="94"/>
      <c r="R16" s="94"/>
      <c r="S16" s="100"/>
      <c r="T16" s="100"/>
      <c r="U16" s="100"/>
      <c r="V16" s="100"/>
      <c r="W16" s="100"/>
      <c r="X16" s="100"/>
      <c r="Y16" s="100"/>
    </row>
    <row r="17">
      <c r="A17" s="94"/>
      <c r="B17" s="94"/>
      <c r="C17" s="95" t="s">
        <v>71</v>
      </c>
      <c r="D17" s="58" t="s">
        <v>72</v>
      </c>
      <c r="E17" s="94"/>
      <c r="F17" s="96">
        <v>7.207515009E9</v>
      </c>
      <c r="G17" s="94" t="s">
        <v>70</v>
      </c>
      <c r="H17" s="44" t="s">
        <v>745</v>
      </c>
      <c r="I17" s="97" t="s">
        <v>745</v>
      </c>
      <c r="J17" s="104"/>
      <c r="K17" s="61" t="s">
        <v>674</v>
      </c>
      <c r="L17" s="96" t="s">
        <v>684</v>
      </c>
      <c r="M17" s="96" t="s">
        <v>41</v>
      </c>
      <c r="N17" s="96" t="s">
        <v>40</v>
      </c>
      <c r="O17" s="96" t="s">
        <v>695</v>
      </c>
      <c r="P17" s="99"/>
      <c r="Q17" s="94"/>
      <c r="R17" s="94"/>
      <c r="S17" s="100"/>
      <c r="T17" s="100"/>
      <c r="U17" s="100"/>
      <c r="V17" s="100"/>
      <c r="W17" s="100"/>
      <c r="X17" s="100"/>
      <c r="Y17" s="100"/>
    </row>
    <row r="18">
      <c r="A18" s="94"/>
      <c r="B18" s="94"/>
      <c r="C18" s="95" t="s">
        <v>470</v>
      </c>
      <c r="D18" s="58" t="s">
        <v>47</v>
      </c>
      <c r="E18" s="94"/>
      <c r="F18" s="96" t="s">
        <v>471</v>
      </c>
      <c r="G18" s="94" t="s">
        <v>469</v>
      </c>
      <c r="H18" s="44" t="s">
        <v>745</v>
      </c>
      <c r="I18" s="97" t="s">
        <v>745</v>
      </c>
      <c r="J18" s="98" t="s">
        <v>745</v>
      </c>
      <c r="K18" s="61" t="s">
        <v>674</v>
      </c>
      <c r="L18" s="96" t="s">
        <v>686</v>
      </c>
      <c r="M18" s="96" t="s">
        <v>40</v>
      </c>
      <c r="N18" s="96" t="s">
        <v>96</v>
      </c>
      <c r="O18" s="96" t="s">
        <v>695</v>
      </c>
      <c r="P18" s="103" t="s">
        <v>693</v>
      </c>
      <c r="Q18" s="94"/>
      <c r="R18" s="94"/>
      <c r="S18" s="100"/>
      <c r="T18" s="100"/>
      <c r="U18" s="100"/>
      <c r="V18" s="100"/>
      <c r="W18" s="100"/>
      <c r="X18" s="100"/>
      <c r="Y18" s="100"/>
    </row>
    <row r="19">
      <c r="A19" s="94"/>
      <c r="B19" s="94"/>
      <c r="C19" s="95" t="s">
        <v>81</v>
      </c>
      <c r="D19" s="58" t="s">
        <v>82</v>
      </c>
      <c r="E19" s="96" t="s">
        <v>749</v>
      </c>
      <c r="F19" s="96" t="s">
        <v>83</v>
      </c>
      <c r="G19" s="94" t="s">
        <v>80</v>
      </c>
      <c r="H19" s="44" t="s">
        <v>745</v>
      </c>
      <c r="I19" s="97" t="s">
        <v>745</v>
      </c>
      <c r="J19" s="102"/>
      <c r="K19" s="61" t="s">
        <v>674</v>
      </c>
      <c r="L19" s="96" t="s">
        <v>691</v>
      </c>
      <c r="M19" s="96" t="s">
        <v>40</v>
      </c>
      <c r="N19" s="96" t="s">
        <v>41</v>
      </c>
      <c r="O19" s="96" t="s">
        <v>676</v>
      </c>
      <c r="P19" s="99"/>
      <c r="Q19" s="94"/>
      <c r="R19" s="94"/>
      <c r="S19" s="100"/>
      <c r="T19" s="100"/>
      <c r="U19" s="100"/>
      <c r="V19" s="100"/>
      <c r="W19" s="100"/>
      <c r="X19" s="100"/>
      <c r="Y19" s="100"/>
    </row>
    <row r="20">
      <c r="A20" s="94"/>
      <c r="B20" s="94"/>
      <c r="C20" s="95" t="s">
        <v>487</v>
      </c>
      <c r="D20" s="58" t="s">
        <v>488</v>
      </c>
      <c r="E20" s="94"/>
      <c r="F20" s="96" t="s">
        <v>489</v>
      </c>
      <c r="G20" s="94" t="s">
        <v>486</v>
      </c>
      <c r="H20" s="44" t="s">
        <v>745</v>
      </c>
      <c r="I20" s="97" t="s">
        <v>745</v>
      </c>
      <c r="J20" s="98" t="s">
        <v>745</v>
      </c>
      <c r="K20" s="61" t="s">
        <v>674</v>
      </c>
      <c r="L20" s="96" t="s">
        <v>686</v>
      </c>
      <c r="M20" s="96" t="s">
        <v>40</v>
      </c>
      <c r="N20" s="96" t="s">
        <v>96</v>
      </c>
      <c r="O20" s="96" t="s">
        <v>676</v>
      </c>
      <c r="P20" s="99"/>
      <c r="Q20" s="94"/>
      <c r="R20" s="94"/>
      <c r="S20" s="100"/>
      <c r="T20" s="100"/>
      <c r="U20" s="100"/>
      <c r="V20" s="100"/>
      <c r="W20" s="100"/>
      <c r="X20" s="100"/>
      <c r="Y20" s="100"/>
    </row>
    <row r="21">
      <c r="A21" s="94"/>
      <c r="B21" s="94"/>
      <c r="C21" s="95" t="s">
        <v>110</v>
      </c>
      <c r="D21" s="58" t="s">
        <v>111</v>
      </c>
      <c r="E21" s="94"/>
      <c r="F21" s="96" t="s">
        <v>112</v>
      </c>
      <c r="G21" s="94" t="s">
        <v>109</v>
      </c>
      <c r="H21" s="44" t="s">
        <v>745</v>
      </c>
      <c r="I21" s="97" t="s">
        <v>745</v>
      </c>
      <c r="J21" s="98" t="s">
        <v>745</v>
      </c>
      <c r="K21" s="61" t="s">
        <v>674</v>
      </c>
      <c r="L21" s="96" t="s">
        <v>684</v>
      </c>
      <c r="M21" s="96" t="s">
        <v>40</v>
      </c>
      <c r="N21" s="96" t="s">
        <v>96</v>
      </c>
      <c r="O21" s="96" t="s">
        <v>676</v>
      </c>
      <c r="P21" s="103"/>
      <c r="Q21" s="94"/>
      <c r="R21" s="94"/>
      <c r="S21" s="100"/>
      <c r="T21" s="100"/>
      <c r="U21" s="100"/>
      <c r="V21" s="100"/>
      <c r="W21" s="100"/>
      <c r="X21" s="100"/>
      <c r="Y21" s="100"/>
    </row>
    <row r="22">
      <c r="A22" s="94"/>
      <c r="B22" s="94"/>
      <c r="C22" s="95" t="s">
        <v>121</v>
      </c>
      <c r="D22" s="58" t="s">
        <v>122</v>
      </c>
      <c r="E22" s="97" t="s">
        <v>750</v>
      </c>
      <c r="F22" s="96">
        <v>3.034950807E9</v>
      </c>
      <c r="G22" s="94" t="s">
        <v>120</v>
      </c>
      <c r="H22" s="44" t="s">
        <v>745</v>
      </c>
      <c r="I22" s="97" t="s">
        <v>745</v>
      </c>
      <c r="J22" s="98" t="s">
        <v>745</v>
      </c>
      <c r="K22" s="61" t="s">
        <v>674</v>
      </c>
      <c r="L22" s="96" t="s">
        <v>691</v>
      </c>
      <c r="M22" s="96" t="s">
        <v>40</v>
      </c>
      <c r="N22" s="96" t="s">
        <v>96</v>
      </c>
      <c r="O22" s="96" t="s">
        <v>689</v>
      </c>
      <c r="P22" s="99"/>
      <c r="Q22" s="94"/>
      <c r="R22" s="94"/>
      <c r="S22" s="100"/>
      <c r="T22" s="100"/>
      <c r="U22" s="100"/>
      <c r="V22" s="100"/>
      <c r="W22" s="100"/>
      <c r="X22" s="100"/>
      <c r="Y22" s="100"/>
    </row>
    <row r="23">
      <c r="A23" s="94"/>
      <c r="B23" s="94"/>
      <c r="C23" s="95" t="s">
        <v>523</v>
      </c>
      <c r="D23" s="58" t="s">
        <v>524</v>
      </c>
      <c r="E23" s="96" t="s">
        <v>751</v>
      </c>
      <c r="F23" s="96">
        <v>7.20960254E9</v>
      </c>
      <c r="G23" s="94" t="s">
        <v>522</v>
      </c>
      <c r="H23" s="44" t="s">
        <v>745</v>
      </c>
      <c r="I23" s="97" t="s">
        <v>745</v>
      </c>
      <c r="J23" s="98" t="s">
        <v>745</v>
      </c>
      <c r="K23" s="43" t="s">
        <v>674</v>
      </c>
      <c r="L23" s="96" t="s">
        <v>684</v>
      </c>
      <c r="M23" s="96" t="s">
        <v>96</v>
      </c>
      <c r="N23" s="96" t="s">
        <v>159</v>
      </c>
      <c r="O23" s="96" t="s">
        <v>676</v>
      </c>
      <c r="P23" s="103" t="s">
        <v>703</v>
      </c>
      <c r="Q23" s="94"/>
      <c r="R23" s="94"/>
      <c r="S23" s="100"/>
      <c r="T23" s="100"/>
      <c r="U23" s="100"/>
      <c r="V23" s="100"/>
      <c r="W23" s="100"/>
      <c r="X23" s="100"/>
      <c r="Y23" s="100"/>
    </row>
    <row r="24">
      <c r="A24" s="94"/>
      <c r="B24" s="94"/>
      <c r="C24" s="95" t="s">
        <v>533</v>
      </c>
      <c r="D24" s="58" t="s">
        <v>534</v>
      </c>
      <c r="E24" s="96" t="s">
        <v>752</v>
      </c>
      <c r="F24" s="96" t="s">
        <v>535</v>
      </c>
      <c r="G24" s="94" t="s">
        <v>532</v>
      </c>
      <c r="H24" s="44" t="s">
        <v>745</v>
      </c>
      <c r="I24" s="97" t="s">
        <v>745</v>
      </c>
      <c r="J24" s="98" t="s">
        <v>745</v>
      </c>
      <c r="K24" s="61" t="s">
        <v>674</v>
      </c>
      <c r="L24" s="96" t="s">
        <v>686</v>
      </c>
      <c r="M24" s="96" t="s">
        <v>41</v>
      </c>
      <c r="N24" s="96" t="s">
        <v>40</v>
      </c>
      <c r="O24" s="96" t="s">
        <v>676</v>
      </c>
      <c r="P24" s="99"/>
      <c r="Q24" s="94"/>
      <c r="R24" s="94"/>
      <c r="S24" s="100"/>
      <c r="T24" s="100"/>
      <c r="U24" s="100"/>
      <c r="V24" s="100"/>
      <c r="W24" s="100"/>
      <c r="X24" s="100"/>
      <c r="Y24" s="100"/>
    </row>
    <row r="25">
      <c r="A25" s="96"/>
      <c r="B25" s="96"/>
      <c r="C25" s="44" t="s">
        <v>753</v>
      </c>
      <c r="D25" s="58" t="s">
        <v>251</v>
      </c>
      <c r="E25" s="96" t="s">
        <v>554</v>
      </c>
      <c r="F25" s="96">
        <v>3.035918105E9</v>
      </c>
      <c r="G25" s="94" t="s">
        <v>553</v>
      </c>
      <c r="H25" s="44" t="s">
        <v>745</v>
      </c>
      <c r="I25" s="97" t="s">
        <v>745</v>
      </c>
      <c r="J25" s="98" t="s">
        <v>745</v>
      </c>
      <c r="K25" s="61" t="s">
        <v>674</v>
      </c>
      <c r="L25" s="96" t="s">
        <v>686</v>
      </c>
      <c r="M25" s="96" t="s">
        <v>106</v>
      </c>
      <c r="N25" s="96" t="s">
        <v>96</v>
      </c>
      <c r="O25" s="96" t="s">
        <v>676</v>
      </c>
      <c r="P25" s="103" t="s">
        <v>706</v>
      </c>
      <c r="Q25" s="94"/>
      <c r="R25" s="94"/>
      <c r="S25" s="100"/>
      <c r="T25" s="100"/>
      <c r="U25" s="100"/>
      <c r="V25" s="100"/>
      <c r="W25" s="100"/>
      <c r="X25" s="100"/>
      <c r="Y25" s="100"/>
    </row>
    <row r="26">
      <c r="A26" s="94"/>
      <c r="B26" s="94"/>
      <c r="C26" s="95" t="s">
        <v>478</v>
      </c>
      <c r="D26" s="58" t="s">
        <v>524</v>
      </c>
      <c r="E26" s="96" t="s">
        <v>754</v>
      </c>
      <c r="F26" s="96" t="s">
        <v>562</v>
      </c>
      <c r="G26" s="94" t="s">
        <v>561</v>
      </c>
      <c r="H26" s="44" t="s">
        <v>745</v>
      </c>
      <c r="I26" s="97" t="s">
        <v>745</v>
      </c>
      <c r="J26" s="98" t="s">
        <v>745</v>
      </c>
      <c r="K26" s="43" t="s">
        <v>674</v>
      </c>
      <c r="L26" s="96" t="s">
        <v>708</v>
      </c>
      <c r="M26" s="96" t="s">
        <v>96</v>
      </c>
      <c r="N26" s="96" t="s">
        <v>159</v>
      </c>
      <c r="O26" s="96" t="s">
        <v>676</v>
      </c>
      <c r="P26" s="103" t="s">
        <v>706</v>
      </c>
      <c r="Q26" s="94"/>
      <c r="R26" s="94"/>
      <c r="S26" s="100"/>
      <c r="T26" s="100"/>
      <c r="U26" s="100"/>
      <c r="V26" s="100"/>
      <c r="W26" s="100"/>
      <c r="X26" s="100"/>
      <c r="Y26" s="100"/>
    </row>
    <row r="27">
      <c r="A27" s="105"/>
      <c r="B27" s="105"/>
      <c r="C27" s="95" t="s">
        <v>152</v>
      </c>
      <c r="D27" s="58" t="s">
        <v>153</v>
      </c>
      <c r="E27" s="97" t="s">
        <v>755</v>
      </c>
      <c r="F27" s="106" t="s">
        <v>154</v>
      </c>
      <c r="G27" s="105" t="s">
        <v>151</v>
      </c>
      <c r="H27" s="44" t="s">
        <v>745</v>
      </c>
      <c r="I27" s="97" t="s">
        <v>745</v>
      </c>
      <c r="J27" s="98" t="s">
        <v>745</v>
      </c>
      <c r="K27" s="61" t="s">
        <v>674</v>
      </c>
      <c r="L27" s="106" t="s">
        <v>686</v>
      </c>
      <c r="M27" s="106" t="s">
        <v>159</v>
      </c>
      <c r="N27" s="106" t="s">
        <v>106</v>
      </c>
      <c r="O27" s="96" t="s">
        <v>676</v>
      </c>
      <c r="P27" s="107"/>
      <c r="Q27" s="105"/>
      <c r="R27" s="105"/>
    </row>
    <row r="28">
      <c r="A28" s="94"/>
      <c r="B28" s="94"/>
      <c r="C28" s="44" t="s">
        <v>756</v>
      </c>
      <c r="D28" s="58" t="s">
        <v>165</v>
      </c>
      <c r="E28" s="96" t="s">
        <v>757</v>
      </c>
      <c r="F28" s="96" t="s">
        <v>166</v>
      </c>
      <c r="G28" s="94" t="s">
        <v>163</v>
      </c>
      <c r="H28" s="44" t="s">
        <v>745</v>
      </c>
      <c r="I28" s="97" t="s">
        <v>745</v>
      </c>
      <c r="J28" s="98" t="s">
        <v>745</v>
      </c>
      <c r="K28" s="61" t="s">
        <v>674</v>
      </c>
      <c r="L28" s="96" t="s">
        <v>686</v>
      </c>
      <c r="M28" s="96" t="s">
        <v>40</v>
      </c>
      <c r="N28" s="96" t="s">
        <v>41</v>
      </c>
      <c r="O28" s="96" t="s">
        <v>689</v>
      </c>
      <c r="P28" s="99"/>
      <c r="Q28" s="94"/>
      <c r="R28" s="94"/>
      <c r="S28" s="100"/>
      <c r="T28" s="100"/>
      <c r="U28" s="100"/>
      <c r="V28" s="100"/>
      <c r="W28" s="100"/>
      <c r="X28" s="100"/>
      <c r="Y28" s="100"/>
    </row>
    <row r="29">
      <c r="A29" s="94"/>
      <c r="B29" s="94"/>
      <c r="C29" s="95" t="s">
        <v>174</v>
      </c>
      <c r="D29" s="58" t="s">
        <v>175</v>
      </c>
      <c r="E29" s="94"/>
      <c r="F29" s="96" t="s">
        <v>176</v>
      </c>
      <c r="G29" s="94" t="s">
        <v>173</v>
      </c>
      <c r="H29" s="44" t="s">
        <v>745</v>
      </c>
      <c r="I29" s="97" t="s">
        <v>745</v>
      </c>
      <c r="J29" s="98" t="s">
        <v>745</v>
      </c>
      <c r="K29" s="61" t="s">
        <v>674</v>
      </c>
      <c r="L29" s="96" t="s">
        <v>691</v>
      </c>
      <c r="M29" s="96" t="s">
        <v>96</v>
      </c>
      <c r="N29" s="96" t="s">
        <v>40</v>
      </c>
      <c r="O29" s="96" t="s">
        <v>676</v>
      </c>
      <c r="P29" s="99"/>
      <c r="Q29" s="94"/>
      <c r="R29" s="94"/>
      <c r="S29" s="100"/>
      <c r="T29" s="100"/>
      <c r="U29" s="100"/>
      <c r="V29" s="100"/>
      <c r="W29" s="100"/>
      <c r="X29" s="100"/>
      <c r="Y29" s="100"/>
    </row>
    <row r="30">
      <c r="A30" s="94"/>
      <c r="B30" s="94"/>
      <c r="C30" s="95" t="s">
        <v>602</v>
      </c>
      <c r="D30" s="58" t="s">
        <v>603</v>
      </c>
      <c r="E30" s="94"/>
      <c r="F30" s="96"/>
      <c r="G30" s="94" t="s">
        <v>601</v>
      </c>
      <c r="H30" s="101" t="s">
        <v>745</v>
      </c>
      <c r="I30" s="97" t="s">
        <v>745</v>
      </c>
      <c r="J30" s="104"/>
      <c r="K30" s="61" t="s">
        <v>674</v>
      </c>
      <c r="L30" s="96" t="s">
        <v>684</v>
      </c>
      <c r="M30" s="96" t="s">
        <v>41</v>
      </c>
      <c r="N30" s="96" t="s">
        <v>40</v>
      </c>
      <c r="O30" s="96" t="s">
        <v>676</v>
      </c>
      <c r="P30" s="99"/>
      <c r="Q30" s="94"/>
      <c r="R30" s="94"/>
      <c r="S30" s="100"/>
      <c r="T30" s="100"/>
      <c r="U30" s="100"/>
      <c r="V30" s="100"/>
      <c r="W30" s="100"/>
      <c r="X30" s="100"/>
      <c r="Y30" s="100"/>
    </row>
    <row r="31">
      <c r="A31" s="94"/>
      <c r="B31" s="94"/>
      <c r="C31" s="95" t="s">
        <v>222</v>
      </c>
      <c r="D31" s="58" t="s">
        <v>223</v>
      </c>
      <c r="E31" s="94"/>
      <c r="F31" s="96" t="s">
        <v>224</v>
      </c>
      <c r="G31" s="94" t="s">
        <v>221</v>
      </c>
      <c r="H31" s="44" t="s">
        <v>745</v>
      </c>
      <c r="I31" s="97" t="s">
        <v>745</v>
      </c>
      <c r="J31" s="98" t="s">
        <v>745</v>
      </c>
      <c r="K31" s="43" t="s">
        <v>674</v>
      </c>
      <c r="L31" s="96" t="s">
        <v>684</v>
      </c>
      <c r="M31" s="96" t="s">
        <v>41</v>
      </c>
      <c r="N31" s="96" t="s">
        <v>40</v>
      </c>
      <c r="O31" s="96" t="s">
        <v>676</v>
      </c>
      <c r="P31" s="103" t="s">
        <v>722</v>
      </c>
      <c r="Q31" s="94"/>
      <c r="R31" s="94"/>
      <c r="S31" s="100"/>
      <c r="T31" s="100"/>
      <c r="U31" s="100"/>
      <c r="V31" s="100"/>
      <c r="W31" s="100"/>
      <c r="X31" s="100"/>
      <c r="Y31" s="100"/>
    </row>
    <row r="32">
      <c r="A32" s="94"/>
      <c r="B32" s="94"/>
      <c r="C32" s="95" t="s">
        <v>231</v>
      </c>
      <c r="D32" s="58" t="s">
        <v>232</v>
      </c>
      <c r="E32" s="94"/>
      <c r="F32" s="96">
        <v>9.832163051E9</v>
      </c>
      <c r="G32" s="94" t="s">
        <v>230</v>
      </c>
      <c r="H32" s="101" t="s">
        <v>745</v>
      </c>
      <c r="I32" s="97" t="s">
        <v>745</v>
      </c>
      <c r="J32" s="98" t="s">
        <v>745</v>
      </c>
      <c r="K32" s="61" t="s">
        <v>674</v>
      </c>
      <c r="L32" s="96" t="s">
        <v>684</v>
      </c>
      <c r="M32" s="96" t="s">
        <v>41</v>
      </c>
      <c r="N32" s="96" t="s">
        <v>40</v>
      </c>
      <c r="O32" s="96" t="s">
        <v>676</v>
      </c>
      <c r="P32" s="103" t="s">
        <v>728</v>
      </c>
      <c r="Q32" s="94"/>
      <c r="R32" s="94"/>
      <c r="S32" s="100"/>
      <c r="T32" s="100"/>
      <c r="U32" s="100"/>
      <c r="V32" s="100"/>
      <c r="W32" s="100"/>
      <c r="X32" s="100"/>
      <c r="Y32" s="100"/>
    </row>
    <row r="33">
      <c r="A33" s="94"/>
      <c r="B33" s="94"/>
      <c r="C33" s="95" t="s">
        <v>239</v>
      </c>
      <c r="D33" s="58" t="s">
        <v>240</v>
      </c>
      <c r="E33" s="96" t="s">
        <v>758</v>
      </c>
      <c r="F33" s="96" t="s">
        <v>241</v>
      </c>
      <c r="G33" s="94" t="s">
        <v>238</v>
      </c>
      <c r="H33" s="101"/>
      <c r="I33" s="97" t="s">
        <v>745</v>
      </c>
      <c r="J33" s="98" t="s">
        <v>745</v>
      </c>
      <c r="K33" s="61" t="s">
        <v>674</v>
      </c>
      <c r="L33" s="96" t="s">
        <v>691</v>
      </c>
      <c r="M33" s="96" t="s">
        <v>106</v>
      </c>
      <c r="N33" s="96" t="s">
        <v>159</v>
      </c>
      <c r="O33" s="108" t="s">
        <v>689</v>
      </c>
      <c r="P33" s="99"/>
      <c r="Q33" s="94"/>
      <c r="R33" s="94"/>
      <c r="S33" s="100"/>
      <c r="T33" s="100"/>
      <c r="U33" s="100"/>
      <c r="V33" s="100"/>
      <c r="W33" s="100"/>
      <c r="X33" s="100"/>
      <c r="Y33" s="100"/>
    </row>
    <row r="34">
      <c r="A34" s="94"/>
      <c r="B34" s="94"/>
      <c r="C34" s="95" t="s">
        <v>259</v>
      </c>
      <c r="D34" s="58" t="s">
        <v>260</v>
      </c>
      <c r="E34" s="94"/>
      <c r="F34" s="96" t="s">
        <v>261</v>
      </c>
      <c r="G34" s="94" t="s">
        <v>258</v>
      </c>
      <c r="H34" s="44" t="s">
        <v>745</v>
      </c>
      <c r="I34" s="97" t="s">
        <v>745</v>
      </c>
      <c r="J34" s="98" t="s">
        <v>745</v>
      </c>
      <c r="K34" s="43" t="s">
        <v>674</v>
      </c>
      <c r="L34" s="96" t="s">
        <v>684</v>
      </c>
      <c r="M34" s="96" t="s">
        <v>41</v>
      </c>
      <c r="N34" s="96" t="s">
        <v>106</v>
      </c>
      <c r="O34" s="96" t="s">
        <v>676</v>
      </c>
      <c r="P34" s="103" t="s">
        <v>731</v>
      </c>
      <c r="Q34" s="94"/>
      <c r="R34" s="94"/>
      <c r="S34" s="100"/>
      <c r="T34" s="100"/>
      <c r="U34" s="100"/>
      <c r="V34" s="100"/>
      <c r="W34" s="100"/>
      <c r="X34" s="100"/>
      <c r="Y34" s="100"/>
    </row>
    <row r="35">
      <c r="A35" s="94"/>
      <c r="B35" s="94"/>
      <c r="C35" s="95" t="s">
        <v>393</v>
      </c>
      <c r="D35" s="58" t="s">
        <v>394</v>
      </c>
      <c r="E35" s="94"/>
      <c r="F35" s="96" t="s">
        <v>261</v>
      </c>
      <c r="G35" s="94" t="s">
        <v>392</v>
      </c>
      <c r="H35" s="44" t="s">
        <v>745</v>
      </c>
      <c r="I35" s="97" t="s">
        <v>745</v>
      </c>
      <c r="J35" s="98" t="s">
        <v>745</v>
      </c>
      <c r="K35" s="61" t="s">
        <v>674</v>
      </c>
      <c r="L35" s="96" t="s">
        <v>686</v>
      </c>
      <c r="M35" s="96" t="s">
        <v>96</v>
      </c>
      <c r="N35" s="96" t="s">
        <v>106</v>
      </c>
      <c r="O35" s="108" t="s">
        <v>689</v>
      </c>
      <c r="P35" s="99"/>
      <c r="Q35" s="94"/>
      <c r="R35" s="94"/>
      <c r="S35" s="100"/>
      <c r="T35" s="100"/>
      <c r="U35" s="100"/>
      <c r="V35" s="100"/>
      <c r="W35" s="100"/>
      <c r="X35" s="100"/>
      <c r="Y35" s="100"/>
    </row>
    <row r="36">
      <c r="A36" s="108"/>
      <c r="B36" s="108"/>
      <c r="C36" s="59" t="s">
        <v>279</v>
      </c>
      <c r="D36" s="60" t="s">
        <v>280</v>
      </c>
      <c r="E36" s="108"/>
      <c r="F36" s="108" t="s">
        <v>281</v>
      </c>
      <c r="G36" s="108" t="s">
        <v>278</v>
      </c>
      <c r="H36" s="44" t="s">
        <v>745</v>
      </c>
      <c r="I36" s="97" t="s">
        <v>745</v>
      </c>
      <c r="J36" s="104"/>
      <c r="K36" s="61" t="s">
        <v>674</v>
      </c>
      <c r="L36" s="108" t="s">
        <v>684</v>
      </c>
      <c r="M36" s="108" t="s">
        <v>41</v>
      </c>
      <c r="N36" s="108" t="s">
        <v>40</v>
      </c>
      <c r="O36" s="96" t="s">
        <v>676</v>
      </c>
      <c r="P36" s="109" t="s">
        <v>734</v>
      </c>
      <c r="Q36" s="100"/>
      <c r="R36" s="100"/>
      <c r="S36" s="100"/>
      <c r="T36" s="100"/>
      <c r="U36" s="100"/>
      <c r="V36" s="100"/>
      <c r="W36" s="100"/>
      <c r="X36" s="100"/>
      <c r="Y36" s="100"/>
    </row>
    <row r="37">
      <c r="A37" s="97"/>
      <c r="B37" s="97"/>
      <c r="C37" s="59" t="s">
        <v>442</v>
      </c>
      <c r="D37" s="60" t="s">
        <v>443</v>
      </c>
      <c r="E37" s="97"/>
      <c r="F37" s="97" t="s">
        <v>444</v>
      </c>
      <c r="G37" s="97" t="s">
        <v>441</v>
      </c>
      <c r="H37" s="44" t="s">
        <v>745</v>
      </c>
      <c r="I37" s="97" t="s">
        <v>745</v>
      </c>
      <c r="J37" s="98" t="s">
        <v>745</v>
      </c>
      <c r="K37" s="61" t="s">
        <v>674</v>
      </c>
      <c r="L37" s="108" t="s">
        <v>691</v>
      </c>
      <c r="M37" s="108" t="s">
        <v>96</v>
      </c>
      <c r="N37" s="108" t="s">
        <v>40</v>
      </c>
      <c r="O37" s="96" t="s">
        <v>689</v>
      </c>
      <c r="P37" s="109" t="s">
        <v>737</v>
      </c>
      <c r="Q37" s="100"/>
      <c r="R37" s="100"/>
      <c r="S37" s="100"/>
      <c r="T37" s="100"/>
      <c r="U37" s="100"/>
      <c r="V37" s="100"/>
      <c r="W37" s="100"/>
      <c r="X37" s="100"/>
      <c r="Y37" s="100"/>
    </row>
    <row r="38">
      <c r="A38" s="94"/>
      <c r="B38" s="94"/>
      <c r="C38" s="95" t="s">
        <v>478</v>
      </c>
      <c r="D38" s="58" t="s">
        <v>373</v>
      </c>
      <c r="E38" s="94"/>
      <c r="F38" s="96" t="s">
        <v>496</v>
      </c>
      <c r="G38" s="94" t="s">
        <v>495</v>
      </c>
      <c r="H38" s="44" t="s">
        <v>745</v>
      </c>
      <c r="I38" s="108" t="s">
        <v>745</v>
      </c>
      <c r="J38" s="104"/>
      <c r="K38" s="61" t="s">
        <v>674</v>
      </c>
      <c r="L38" s="94"/>
      <c r="M38" s="96" t="s">
        <v>40</v>
      </c>
      <c r="N38" s="96" t="s">
        <v>96</v>
      </c>
      <c r="O38" s="96" t="s">
        <v>676</v>
      </c>
      <c r="P38" s="103" t="s">
        <v>759</v>
      </c>
      <c r="Q38" s="94"/>
      <c r="R38" s="94"/>
      <c r="S38" s="100"/>
      <c r="T38" s="100"/>
      <c r="U38" s="100"/>
      <c r="V38" s="100"/>
      <c r="W38" s="100"/>
      <c r="X38" s="100"/>
      <c r="Y38" s="100"/>
    </row>
    <row r="39">
      <c r="A39" s="94"/>
      <c r="B39" s="94"/>
      <c r="C39" s="94" t="s">
        <v>505</v>
      </c>
      <c r="D39" s="58" t="s">
        <v>506</v>
      </c>
      <c r="E39" s="96" t="s">
        <v>760</v>
      </c>
      <c r="F39" s="96" t="s">
        <v>507</v>
      </c>
      <c r="G39" s="94" t="s">
        <v>504</v>
      </c>
      <c r="H39" s="44" t="s">
        <v>745</v>
      </c>
      <c r="I39" s="108" t="s">
        <v>745</v>
      </c>
      <c r="J39" s="102"/>
      <c r="K39" s="61" t="s">
        <v>674</v>
      </c>
      <c r="L39" s="96" t="s">
        <v>691</v>
      </c>
      <c r="M39" s="96" t="s">
        <v>40</v>
      </c>
      <c r="N39" s="96" t="s">
        <v>409</v>
      </c>
      <c r="O39" s="96" t="s">
        <v>676</v>
      </c>
      <c r="P39" s="103" t="s">
        <v>701</v>
      </c>
      <c r="Q39" s="94"/>
      <c r="R39" s="94"/>
      <c r="S39" s="100"/>
      <c r="T39" s="100"/>
      <c r="U39" s="100"/>
      <c r="V39" s="100"/>
      <c r="W39" s="100"/>
      <c r="X39" s="100"/>
      <c r="Y39" s="100"/>
    </row>
    <row r="40">
      <c r="A40" s="94"/>
      <c r="B40" s="94"/>
      <c r="C40" s="94" t="s">
        <v>101</v>
      </c>
      <c r="D40" s="58" t="s">
        <v>102</v>
      </c>
      <c r="E40" s="94"/>
      <c r="F40" s="96" t="s">
        <v>103</v>
      </c>
      <c r="G40" s="94" t="s">
        <v>100</v>
      </c>
      <c r="H40" s="44" t="s">
        <v>745</v>
      </c>
      <c r="I40" s="108" t="s">
        <v>745</v>
      </c>
      <c r="J40" s="102"/>
      <c r="K40" s="61" t="s">
        <v>674</v>
      </c>
      <c r="L40" s="96" t="s">
        <v>691</v>
      </c>
      <c r="M40" s="96" t="s">
        <v>96</v>
      </c>
      <c r="N40" s="96" t="s">
        <v>106</v>
      </c>
      <c r="O40" s="96" t="s">
        <v>689</v>
      </c>
      <c r="P40" s="99"/>
      <c r="Q40" s="94"/>
      <c r="R40" s="94"/>
      <c r="S40" s="100"/>
      <c r="T40" s="100"/>
      <c r="U40" s="100"/>
      <c r="V40" s="100"/>
      <c r="W40" s="100"/>
      <c r="X40" s="100"/>
      <c r="Y40" s="100"/>
    </row>
    <row r="41">
      <c r="A41" s="96"/>
      <c r="B41" s="96"/>
      <c r="C41" s="96" t="s">
        <v>710</v>
      </c>
      <c r="D41" s="61" t="s">
        <v>634</v>
      </c>
      <c r="E41" s="94"/>
      <c r="F41" s="96" t="s">
        <v>584</v>
      </c>
      <c r="G41" s="96" t="s">
        <v>711</v>
      </c>
      <c r="H41" s="44" t="s">
        <v>745</v>
      </c>
      <c r="I41" s="108" t="s">
        <v>745</v>
      </c>
      <c r="J41" s="109" t="s">
        <v>745</v>
      </c>
      <c r="K41" s="43" t="s">
        <v>674</v>
      </c>
      <c r="L41" s="96" t="s">
        <v>686</v>
      </c>
      <c r="M41" s="96" t="s">
        <v>96</v>
      </c>
      <c r="N41" s="96" t="s">
        <v>409</v>
      </c>
      <c r="O41" s="96" t="s">
        <v>676</v>
      </c>
      <c r="P41" s="103" t="s">
        <v>713</v>
      </c>
      <c r="Q41" s="94"/>
      <c r="R41" s="94"/>
      <c r="S41" s="100"/>
      <c r="T41" s="100"/>
      <c r="U41" s="100"/>
      <c r="V41" s="100"/>
      <c r="W41" s="100"/>
      <c r="X41" s="100"/>
      <c r="Y41" s="100"/>
    </row>
    <row r="42">
      <c r="A42" s="94"/>
      <c r="B42" s="94"/>
      <c r="C42" s="94" t="s">
        <v>593</v>
      </c>
      <c r="D42" s="58" t="s">
        <v>594</v>
      </c>
      <c r="E42" s="96" t="s">
        <v>761</v>
      </c>
      <c r="F42" s="96" t="s">
        <v>595</v>
      </c>
      <c r="G42" s="94" t="s">
        <v>592</v>
      </c>
      <c r="H42" s="44" t="s">
        <v>745</v>
      </c>
      <c r="I42" s="108" t="s">
        <v>745</v>
      </c>
      <c r="J42" s="104"/>
      <c r="K42" s="43" t="s">
        <v>674</v>
      </c>
      <c r="L42" s="96" t="s">
        <v>686</v>
      </c>
      <c r="M42" s="96" t="s">
        <v>96</v>
      </c>
      <c r="N42" s="96" t="s">
        <v>106</v>
      </c>
      <c r="O42" s="96" t="s">
        <v>676</v>
      </c>
      <c r="P42" s="103" t="s">
        <v>716</v>
      </c>
      <c r="Q42" s="94"/>
      <c r="R42" s="94"/>
      <c r="S42" s="100"/>
      <c r="T42" s="100"/>
      <c r="U42" s="100"/>
      <c r="V42" s="100"/>
      <c r="W42" s="100"/>
      <c r="X42" s="100"/>
      <c r="Y42" s="100"/>
    </row>
    <row r="43">
      <c r="A43" s="94"/>
      <c r="B43" s="94"/>
      <c r="C43" s="94" t="s">
        <v>185</v>
      </c>
      <c r="D43" s="58" t="s">
        <v>186</v>
      </c>
      <c r="E43" s="96" t="s">
        <v>762</v>
      </c>
      <c r="F43" s="96" t="s">
        <v>187</v>
      </c>
      <c r="G43" s="94" t="s">
        <v>184</v>
      </c>
      <c r="H43" s="44" t="s">
        <v>745</v>
      </c>
      <c r="I43" s="97" t="s">
        <v>745</v>
      </c>
      <c r="J43" s="102"/>
      <c r="K43" s="61" t="s">
        <v>674</v>
      </c>
      <c r="L43" s="96" t="s">
        <v>686</v>
      </c>
      <c r="M43" s="96" t="s">
        <v>40</v>
      </c>
      <c r="N43" s="96" t="s">
        <v>41</v>
      </c>
      <c r="O43" s="96" t="s">
        <v>676</v>
      </c>
      <c r="P43" s="99"/>
      <c r="Q43" s="94"/>
      <c r="R43" s="94"/>
      <c r="S43" s="100"/>
      <c r="T43" s="100"/>
      <c r="U43" s="100"/>
      <c r="V43" s="100"/>
      <c r="W43" s="100"/>
      <c r="X43" s="100"/>
      <c r="Y43" s="100"/>
    </row>
    <row r="44">
      <c r="A44" s="94"/>
      <c r="B44" s="94"/>
      <c r="C44" s="94" t="s">
        <v>617</v>
      </c>
      <c r="D44" s="58" t="s">
        <v>618</v>
      </c>
      <c r="E44" s="96" t="s">
        <v>763</v>
      </c>
      <c r="F44" s="96" t="s">
        <v>619</v>
      </c>
      <c r="G44" s="94" t="s">
        <v>616</v>
      </c>
      <c r="H44" s="44" t="s">
        <v>745</v>
      </c>
      <c r="I44" s="108" t="s">
        <v>745</v>
      </c>
      <c r="J44" s="109" t="s">
        <v>745</v>
      </c>
      <c r="K44" s="61" t="s">
        <v>674</v>
      </c>
      <c r="L44" s="96" t="s">
        <v>686</v>
      </c>
      <c r="M44" s="96" t="s">
        <v>96</v>
      </c>
      <c r="N44" s="96" t="s">
        <v>106</v>
      </c>
      <c r="O44" s="96" t="s">
        <v>676</v>
      </c>
      <c r="P44" s="103" t="s">
        <v>721</v>
      </c>
      <c r="Q44" s="94"/>
      <c r="R44" s="94"/>
      <c r="S44" s="100"/>
      <c r="T44" s="100"/>
      <c r="U44" s="100"/>
      <c r="V44" s="100"/>
      <c r="W44" s="100"/>
      <c r="X44" s="100"/>
      <c r="Y44" s="100"/>
    </row>
    <row r="45">
      <c r="A45" s="110"/>
      <c r="B45" s="110"/>
      <c r="C45" s="95" t="s">
        <v>212</v>
      </c>
      <c r="D45" s="111" t="s">
        <v>213</v>
      </c>
      <c r="E45" s="112" t="s">
        <v>764</v>
      </c>
      <c r="F45" s="113" t="s">
        <v>214</v>
      </c>
      <c r="G45" s="110" t="s">
        <v>211</v>
      </c>
      <c r="H45" s="114" t="s">
        <v>745</v>
      </c>
      <c r="I45" s="114" t="s">
        <v>745</v>
      </c>
      <c r="J45" s="101"/>
      <c r="K45" s="61" t="s">
        <v>674</v>
      </c>
      <c r="L45" s="113" t="s">
        <v>686</v>
      </c>
      <c r="M45" s="113" t="s">
        <v>96</v>
      </c>
      <c r="N45" s="113" t="s">
        <v>106</v>
      </c>
      <c r="O45" s="113" t="s">
        <v>676</v>
      </c>
      <c r="P45" s="111"/>
      <c r="Q45" s="110"/>
      <c r="R45" s="110"/>
      <c r="S45" s="110"/>
      <c r="T45" s="110"/>
      <c r="U45" s="110"/>
      <c r="V45" s="110"/>
      <c r="W45" s="110"/>
      <c r="X45" s="110"/>
      <c r="Y45" s="110"/>
    </row>
    <row r="46">
      <c r="A46" s="94"/>
      <c r="B46" s="94"/>
      <c r="C46" s="95" t="s">
        <v>91</v>
      </c>
      <c r="D46" s="99" t="s">
        <v>92</v>
      </c>
      <c r="E46" s="94"/>
      <c r="F46" s="96">
        <v>3.609661681E9</v>
      </c>
      <c r="G46" s="94" t="s">
        <v>90</v>
      </c>
      <c r="H46" s="44" t="s">
        <v>745</v>
      </c>
      <c r="I46" s="97" t="s">
        <v>745</v>
      </c>
      <c r="J46" s="98" t="s">
        <v>745</v>
      </c>
      <c r="K46" s="61" t="s">
        <v>674</v>
      </c>
      <c r="L46" s="96" t="s">
        <v>686</v>
      </c>
      <c r="M46" s="96" t="s">
        <v>40</v>
      </c>
      <c r="N46" s="96" t="s">
        <v>96</v>
      </c>
      <c r="O46" s="96" t="s">
        <v>676</v>
      </c>
      <c r="P46" s="99"/>
      <c r="Q46" s="94"/>
      <c r="R46" s="94"/>
      <c r="S46" s="100"/>
      <c r="T46" s="100"/>
      <c r="U46" s="100"/>
      <c r="V46" s="100"/>
      <c r="W46" s="100"/>
      <c r="X46" s="100"/>
      <c r="Y46" s="100"/>
    </row>
    <row r="47">
      <c r="A47" s="94"/>
      <c r="B47" s="94"/>
      <c r="C47" s="95" t="s">
        <v>130</v>
      </c>
      <c r="D47" s="99" t="s">
        <v>131</v>
      </c>
      <c r="E47" s="94"/>
      <c r="F47" s="96">
        <v>7.202919949E9</v>
      </c>
      <c r="G47" s="94" t="s">
        <v>129</v>
      </c>
      <c r="H47" s="44" t="s">
        <v>745</v>
      </c>
      <c r="I47" s="97" t="s">
        <v>745</v>
      </c>
      <c r="J47" s="101"/>
      <c r="K47" s="61" t="s">
        <v>674</v>
      </c>
      <c r="L47" s="96" t="s">
        <v>686</v>
      </c>
      <c r="M47" s="96" t="s">
        <v>41</v>
      </c>
      <c r="N47" s="96" t="s">
        <v>40</v>
      </c>
      <c r="O47" s="96" t="s">
        <v>676</v>
      </c>
      <c r="P47" s="99"/>
      <c r="Q47" s="94"/>
      <c r="R47" s="94"/>
      <c r="S47" s="100"/>
      <c r="T47" s="100"/>
      <c r="U47" s="100"/>
      <c r="V47" s="100"/>
      <c r="W47" s="100"/>
      <c r="X47" s="100"/>
      <c r="Y47" s="100"/>
    </row>
    <row r="48">
      <c r="A48" s="94"/>
      <c r="B48" s="94"/>
      <c r="C48" s="95" t="s">
        <v>141</v>
      </c>
      <c r="D48" s="99" t="s">
        <v>142</v>
      </c>
      <c r="E48" s="96" t="s">
        <v>765</v>
      </c>
      <c r="F48" s="96" t="s">
        <v>143</v>
      </c>
      <c r="G48" s="94" t="s">
        <v>140</v>
      </c>
      <c r="H48" s="44" t="s">
        <v>745</v>
      </c>
      <c r="I48" s="97" t="s">
        <v>745</v>
      </c>
      <c r="J48" s="98" t="s">
        <v>745</v>
      </c>
      <c r="K48" s="61" t="s">
        <v>674</v>
      </c>
      <c r="L48" s="96" t="s">
        <v>684</v>
      </c>
      <c r="M48" s="96" t="s">
        <v>40</v>
      </c>
      <c r="N48" s="96" t="s">
        <v>41</v>
      </c>
      <c r="O48" s="96" t="s">
        <v>676</v>
      </c>
      <c r="P48" s="99"/>
      <c r="Q48" s="94"/>
      <c r="R48" s="94"/>
      <c r="S48" s="100"/>
      <c r="T48" s="100"/>
      <c r="U48" s="100"/>
      <c r="V48" s="100"/>
      <c r="W48" s="100"/>
      <c r="X48" s="100"/>
      <c r="Y48" s="100"/>
    </row>
    <row r="49">
      <c r="A49" s="94"/>
      <c r="B49" s="94"/>
      <c r="C49" s="95" t="s">
        <v>608</v>
      </c>
      <c r="D49" s="99" t="s">
        <v>609</v>
      </c>
      <c r="E49" s="94"/>
      <c r="F49" s="96" t="s">
        <v>610</v>
      </c>
      <c r="G49" s="94" t="s">
        <v>607</v>
      </c>
      <c r="H49" s="44" t="s">
        <v>745</v>
      </c>
      <c r="I49" s="97" t="s">
        <v>745</v>
      </c>
      <c r="J49" s="98" t="s">
        <v>745</v>
      </c>
      <c r="K49" s="43" t="s">
        <v>674</v>
      </c>
      <c r="L49" s="96" t="s">
        <v>686</v>
      </c>
      <c r="M49" s="96" t="s">
        <v>96</v>
      </c>
      <c r="N49" s="96" t="s">
        <v>106</v>
      </c>
      <c r="O49" s="96" t="s">
        <v>676</v>
      </c>
      <c r="P49" s="103" t="s">
        <v>717</v>
      </c>
      <c r="Q49" s="94"/>
      <c r="R49" s="94"/>
      <c r="S49" s="100"/>
      <c r="T49" s="100"/>
      <c r="U49" s="100"/>
      <c r="V49" s="100"/>
      <c r="W49" s="100"/>
      <c r="X49" s="100"/>
      <c r="Y49" s="100"/>
    </row>
    <row r="50">
      <c r="A50" s="94"/>
      <c r="B50" s="96"/>
      <c r="C50" s="44" t="s">
        <v>766</v>
      </c>
      <c r="D50" s="99" t="s">
        <v>195</v>
      </c>
      <c r="E50" s="94" t="s">
        <v>194</v>
      </c>
      <c r="F50" s="96" t="s">
        <v>196</v>
      </c>
      <c r="G50" s="94" t="s">
        <v>193</v>
      </c>
      <c r="H50" s="44" t="s">
        <v>745</v>
      </c>
      <c r="I50" s="97" t="s">
        <v>745</v>
      </c>
      <c r="J50" s="98" t="s">
        <v>745</v>
      </c>
      <c r="K50" s="61" t="s">
        <v>674</v>
      </c>
      <c r="L50" s="96" t="s">
        <v>686</v>
      </c>
      <c r="M50" s="96" t="s">
        <v>40</v>
      </c>
      <c r="N50" s="96" t="s">
        <v>41</v>
      </c>
      <c r="O50" s="96" t="s">
        <v>676</v>
      </c>
      <c r="P50" s="99"/>
      <c r="Q50" s="94"/>
      <c r="R50" s="94"/>
      <c r="S50" s="100"/>
      <c r="T50" s="100"/>
      <c r="U50" s="100"/>
      <c r="V50" s="100"/>
      <c r="W50" s="100"/>
      <c r="X50" s="100"/>
      <c r="Y50" s="100"/>
    </row>
    <row r="51">
      <c r="A51" s="94"/>
      <c r="B51" s="94"/>
      <c r="C51" s="95" t="s">
        <v>204</v>
      </c>
      <c r="D51" s="99" t="s">
        <v>205</v>
      </c>
      <c r="E51" s="94"/>
      <c r="F51" s="96">
        <v>9.707869861E9</v>
      </c>
      <c r="G51" s="94" t="s">
        <v>203</v>
      </c>
      <c r="H51" s="44" t="s">
        <v>745</v>
      </c>
      <c r="I51" s="97" t="s">
        <v>745</v>
      </c>
      <c r="J51" s="98" t="s">
        <v>745</v>
      </c>
      <c r="K51" s="61" t="s">
        <v>674</v>
      </c>
      <c r="L51" s="96" t="s">
        <v>684</v>
      </c>
      <c r="M51" s="96" t="s">
        <v>40</v>
      </c>
      <c r="N51" s="96" t="s">
        <v>106</v>
      </c>
      <c r="O51" s="96" t="s">
        <v>676</v>
      </c>
      <c r="P51" s="103" t="s">
        <v>720</v>
      </c>
      <c r="Q51" s="94"/>
      <c r="R51" s="94"/>
      <c r="S51" s="100"/>
      <c r="T51" s="100"/>
      <c r="U51" s="100"/>
      <c r="V51" s="100"/>
      <c r="W51" s="100"/>
      <c r="X51" s="100"/>
      <c r="Y51" s="100"/>
    </row>
    <row r="52">
      <c r="A52" s="94"/>
      <c r="B52" s="94"/>
      <c r="C52" s="95" t="s">
        <v>250</v>
      </c>
      <c r="D52" s="99" t="s">
        <v>251</v>
      </c>
      <c r="E52" s="94"/>
      <c r="F52" s="96" t="s">
        <v>252</v>
      </c>
      <c r="G52" s="94" t="s">
        <v>249</v>
      </c>
      <c r="H52" s="101" t="s">
        <v>745</v>
      </c>
      <c r="I52" s="97" t="s">
        <v>745</v>
      </c>
      <c r="J52" s="104"/>
      <c r="K52" s="61" t="s">
        <v>674</v>
      </c>
      <c r="L52" s="96" t="s">
        <v>684</v>
      </c>
      <c r="M52" s="96" t="s">
        <v>40</v>
      </c>
      <c r="N52" s="96" t="s">
        <v>41</v>
      </c>
      <c r="O52" s="96" t="s">
        <v>676</v>
      </c>
      <c r="P52" s="99"/>
      <c r="Q52" s="94"/>
      <c r="R52" s="94"/>
      <c r="S52" s="100"/>
      <c r="T52" s="100"/>
      <c r="U52" s="100"/>
      <c r="V52" s="100"/>
      <c r="W52" s="100"/>
      <c r="X52" s="100"/>
      <c r="Y52" s="100"/>
    </row>
    <row r="53">
      <c r="A53" s="94"/>
      <c r="B53" s="94"/>
      <c r="C53" s="44" t="s">
        <v>767</v>
      </c>
      <c r="D53" s="99" t="s">
        <v>270</v>
      </c>
      <c r="E53" s="96" t="s">
        <v>768</v>
      </c>
      <c r="F53" s="96" t="s">
        <v>271</v>
      </c>
      <c r="G53" s="94" t="s">
        <v>268</v>
      </c>
      <c r="H53" s="44" t="s">
        <v>745</v>
      </c>
      <c r="I53" s="97" t="s">
        <v>745</v>
      </c>
      <c r="J53" s="98" t="s">
        <v>745</v>
      </c>
      <c r="K53" s="61" t="s">
        <v>674</v>
      </c>
      <c r="L53" s="108" t="s">
        <v>684</v>
      </c>
      <c r="M53" s="96" t="s">
        <v>41</v>
      </c>
      <c r="N53" s="96" t="s">
        <v>106</v>
      </c>
      <c r="O53" s="96" t="s">
        <v>676</v>
      </c>
      <c r="P53" s="99"/>
      <c r="Q53" s="94"/>
      <c r="R53" s="94"/>
      <c r="S53" s="100"/>
      <c r="T53" s="100"/>
      <c r="U53" s="100"/>
      <c r="V53" s="100"/>
      <c r="W53" s="100"/>
      <c r="X53" s="100"/>
      <c r="Y53" s="100"/>
    </row>
    <row r="54">
      <c r="A54" s="108"/>
      <c r="B54" s="108"/>
      <c r="C54" s="59" t="s">
        <v>433</v>
      </c>
      <c r="D54" s="108" t="s">
        <v>434</v>
      </c>
      <c r="E54" s="108"/>
      <c r="F54" s="108">
        <v>7.20651282E9</v>
      </c>
      <c r="G54" s="108" t="s">
        <v>432</v>
      </c>
      <c r="H54" s="44" t="s">
        <v>745</v>
      </c>
      <c r="I54" s="97" t="s">
        <v>745</v>
      </c>
      <c r="J54" s="102"/>
      <c r="K54" s="61" t="s">
        <v>674</v>
      </c>
      <c r="L54" s="108" t="s">
        <v>684</v>
      </c>
      <c r="M54" s="108" t="s">
        <v>41</v>
      </c>
      <c r="N54" s="108" t="s">
        <v>40</v>
      </c>
      <c r="O54" s="108" t="s">
        <v>689</v>
      </c>
      <c r="P54" s="115"/>
      <c r="Q54" s="100"/>
      <c r="R54" s="100"/>
      <c r="S54" s="100"/>
      <c r="T54" s="100"/>
      <c r="U54" s="100"/>
      <c r="V54" s="100"/>
      <c r="W54" s="100"/>
      <c r="X54" s="100"/>
      <c r="Y54" s="100"/>
    </row>
    <row r="55">
      <c r="A55" s="33"/>
      <c r="B55" s="33"/>
      <c r="C55" s="33" t="s">
        <v>630</v>
      </c>
      <c r="D55" s="35" t="s">
        <v>723</v>
      </c>
      <c r="E55" s="31"/>
      <c r="F55" s="33" t="s">
        <v>384</v>
      </c>
      <c r="G55" s="31" t="s">
        <v>381</v>
      </c>
      <c r="H55" s="46"/>
      <c r="I55" s="34"/>
      <c r="J55" s="46"/>
      <c r="K55" s="35" t="s">
        <v>674</v>
      </c>
      <c r="L55" s="33" t="s">
        <v>725</v>
      </c>
      <c r="M55" s="33" t="s">
        <v>96</v>
      </c>
      <c r="N55" s="33" t="s">
        <v>106</v>
      </c>
      <c r="O55" s="33" t="s">
        <v>726</v>
      </c>
      <c r="P55" s="32"/>
      <c r="Q55" s="31"/>
      <c r="R55" s="31"/>
      <c r="S55" s="82"/>
      <c r="T55" s="82"/>
      <c r="U55" s="82"/>
      <c r="V55" s="82"/>
      <c r="W55" s="82"/>
      <c r="X55" s="82"/>
      <c r="Y55" s="82"/>
    </row>
    <row r="56">
      <c r="A56" s="34"/>
      <c r="B56" s="34"/>
      <c r="C56" s="34" t="s">
        <v>289</v>
      </c>
      <c r="D56" s="34" t="s">
        <v>290</v>
      </c>
      <c r="E56" s="34" t="s">
        <v>735</v>
      </c>
      <c r="F56" s="34">
        <v>7.208006266E9</v>
      </c>
      <c r="G56" s="34" t="s">
        <v>288</v>
      </c>
      <c r="H56" s="33" t="s">
        <v>745</v>
      </c>
      <c r="I56" s="82"/>
      <c r="J56" s="46"/>
      <c r="K56" s="35" t="s">
        <v>674</v>
      </c>
      <c r="L56" s="34" t="s">
        <v>691</v>
      </c>
      <c r="M56" s="34" t="s">
        <v>106</v>
      </c>
      <c r="N56" s="34" t="s">
        <v>41</v>
      </c>
      <c r="O56" s="34" t="s">
        <v>689</v>
      </c>
      <c r="P56" s="52"/>
      <c r="Q56" s="82"/>
      <c r="R56" s="82"/>
      <c r="S56" s="82"/>
      <c r="T56" s="82"/>
      <c r="U56" s="82"/>
      <c r="V56" s="82"/>
      <c r="W56" s="82"/>
      <c r="X56" s="82"/>
      <c r="Y56" s="82"/>
    </row>
    <row r="57">
      <c r="K57" s="83"/>
      <c r="P57" s="83"/>
    </row>
    <row r="58">
      <c r="K58" s="85"/>
      <c r="P58" s="83"/>
    </row>
    <row r="59">
      <c r="K59" s="83"/>
      <c r="P59" s="83"/>
    </row>
    <row r="60">
      <c r="K60" s="83"/>
      <c r="P60" s="83"/>
    </row>
    <row r="61">
      <c r="K61" s="83"/>
      <c r="P61" s="83"/>
    </row>
    <row r="62">
      <c r="B62" s="116" t="str">
        <f t="shared" ref="B62:B111" si="1">UPPER(C62)&amp;" "&amp;UPPER(D62)</f>
        <v>ELYNOR SYKES</v>
      </c>
      <c r="C62" s="116" t="s">
        <v>403</v>
      </c>
      <c r="D62" s="116" t="s">
        <v>404</v>
      </c>
      <c r="K62" s="83"/>
      <c r="P62" s="83"/>
    </row>
    <row r="63">
      <c r="B63" s="116" t="str">
        <f t="shared" si="1"/>
        <v>MELISSA YE</v>
      </c>
      <c r="C63" s="116" t="s">
        <v>316</v>
      </c>
      <c r="D63" s="116" t="s">
        <v>317</v>
      </c>
      <c r="K63" s="83"/>
      <c r="P63" s="83"/>
    </row>
    <row r="64">
      <c r="B64" s="116" t="str">
        <f t="shared" si="1"/>
        <v>AARNAV REDDY</v>
      </c>
      <c r="C64" s="116" t="s">
        <v>28</v>
      </c>
      <c r="D64" s="116" t="s">
        <v>29</v>
      </c>
      <c r="K64" s="83"/>
      <c r="P64" s="83"/>
    </row>
    <row r="65">
      <c r="B65" s="116" t="str">
        <f t="shared" si="1"/>
        <v>WILLIAM CHU</v>
      </c>
      <c r="C65" s="116" t="s">
        <v>461</v>
      </c>
      <c r="D65" s="116" t="s">
        <v>462</v>
      </c>
      <c r="K65" s="83"/>
      <c r="P65" s="83"/>
    </row>
    <row r="66">
      <c r="B66" s="116" t="str">
        <f t="shared" si="1"/>
        <v>AMARU KOLLAR</v>
      </c>
      <c r="C66" s="116" t="s">
        <v>327</v>
      </c>
      <c r="D66" s="116" t="s">
        <v>328</v>
      </c>
      <c r="K66" s="83"/>
      <c r="P66" s="83"/>
    </row>
    <row r="67">
      <c r="B67" s="116" t="str">
        <f t="shared" si="1"/>
        <v>TANAY SHAH</v>
      </c>
      <c r="C67" s="116" t="s">
        <v>336</v>
      </c>
      <c r="D67" s="116" t="s">
        <v>337</v>
      </c>
      <c r="K67" s="83"/>
      <c r="P67" s="83"/>
    </row>
    <row r="68">
      <c r="B68" s="116" t="str">
        <f t="shared" si="1"/>
        <v>KABIR SRIVASTAVA</v>
      </c>
      <c r="C68" s="116" t="s">
        <v>414</v>
      </c>
      <c r="D68" s="116" t="s">
        <v>415</v>
      </c>
      <c r="K68" s="83"/>
      <c r="P68" s="83"/>
    </row>
    <row r="69">
      <c r="B69" s="116" t="str">
        <f t="shared" si="1"/>
        <v>LUCY CHEN</v>
      </c>
      <c r="C69" s="116" t="s">
        <v>46</v>
      </c>
      <c r="D69" s="116" t="s">
        <v>47</v>
      </c>
      <c r="K69" s="83"/>
      <c r="P69" s="83"/>
    </row>
    <row r="70">
      <c r="B70" s="116" t="str">
        <f t="shared" si="1"/>
        <v>HAANIE MOHAMMED</v>
      </c>
      <c r="C70" s="116" t="s">
        <v>346</v>
      </c>
      <c r="D70" s="116" t="s">
        <v>347</v>
      </c>
      <c r="K70" s="83"/>
      <c r="P70" s="83"/>
    </row>
    <row r="71">
      <c r="B71" s="116" t="str">
        <f t="shared" si="1"/>
        <v>WINI GALE</v>
      </c>
      <c r="C71" s="116" t="s">
        <v>423</v>
      </c>
      <c r="D71" s="116" t="s">
        <v>424</v>
      </c>
      <c r="K71" s="83"/>
      <c r="P71" s="83"/>
    </row>
    <row r="72">
      <c r="B72" s="116" t="str">
        <f t="shared" si="1"/>
        <v>TUKA BAYASGALAN</v>
      </c>
      <c r="C72" s="97" t="s">
        <v>747</v>
      </c>
      <c r="D72" s="116" t="s">
        <v>290</v>
      </c>
      <c r="K72" s="83"/>
      <c r="P72" s="83"/>
    </row>
    <row r="73">
      <c r="B73" s="116" t="str">
        <f t="shared" si="1"/>
        <v>ARYAN GUPTA</v>
      </c>
      <c r="C73" s="116" t="s">
        <v>364</v>
      </c>
      <c r="D73" s="116" t="s">
        <v>186</v>
      </c>
      <c r="K73" s="83"/>
      <c r="P73" s="83"/>
    </row>
    <row r="74">
      <c r="B74" s="116" t="str">
        <f t="shared" si="1"/>
        <v>JASPER HUANG</v>
      </c>
      <c r="C74" s="116" t="s">
        <v>71</v>
      </c>
      <c r="D74" s="116" t="s">
        <v>72</v>
      </c>
      <c r="K74" s="83"/>
      <c r="P74" s="83"/>
    </row>
    <row r="75">
      <c r="B75" s="116" t="str">
        <f t="shared" si="1"/>
        <v>AVERY CHEN</v>
      </c>
      <c r="C75" s="116" t="s">
        <v>470</v>
      </c>
      <c r="D75" s="116" t="s">
        <v>47</v>
      </c>
      <c r="K75" s="83"/>
      <c r="P75" s="83"/>
    </row>
    <row r="76">
      <c r="B76" s="116" t="str">
        <f t="shared" si="1"/>
        <v>ARUSH GUDISE</v>
      </c>
      <c r="C76" s="116" t="s">
        <v>81</v>
      </c>
      <c r="D76" s="116" t="s">
        <v>82</v>
      </c>
      <c r="K76" s="83"/>
      <c r="P76" s="83"/>
    </row>
    <row r="77">
      <c r="B77" s="116" t="str">
        <f t="shared" si="1"/>
        <v>EESHA SOMANI</v>
      </c>
      <c r="C77" s="116" t="s">
        <v>487</v>
      </c>
      <c r="D77" s="116" t="s">
        <v>488</v>
      </c>
      <c r="K77" s="83"/>
      <c r="P77" s="83"/>
    </row>
    <row r="78">
      <c r="B78" s="116" t="str">
        <f t="shared" si="1"/>
        <v>EMILY YANG</v>
      </c>
      <c r="C78" s="116" t="s">
        <v>110</v>
      </c>
      <c r="D78" s="116" t="s">
        <v>111</v>
      </c>
      <c r="K78" s="83"/>
      <c r="P78" s="83"/>
    </row>
    <row r="79">
      <c r="B79" s="116" t="str">
        <f t="shared" si="1"/>
        <v>NICHOLAS ROBERTS </v>
      </c>
      <c r="C79" s="116" t="s">
        <v>121</v>
      </c>
      <c r="D79" s="116" t="s">
        <v>122</v>
      </c>
      <c r="K79" s="83"/>
      <c r="P79" s="83"/>
    </row>
    <row r="80">
      <c r="B80" s="116" t="str">
        <f t="shared" si="1"/>
        <v>AADI JAIN</v>
      </c>
      <c r="C80" s="116" t="s">
        <v>523</v>
      </c>
      <c r="D80" s="116" t="s">
        <v>524</v>
      </c>
      <c r="K80" s="83"/>
      <c r="P80" s="83"/>
    </row>
    <row r="81">
      <c r="B81" s="116" t="str">
        <f t="shared" si="1"/>
        <v>MEGHANA ATHELLI</v>
      </c>
      <c r="C81" s="116" t="s">
        <v>533</v>
      </c>
      <c r="D81" s="116" t="s">
        <v>534</v>
      </c>
      <c r="K81" s="83"/>
      <c r="P81" s="83"/>
    </row>
    <row r="82">
      <c r="B82" s="116" t="str">
        <f t="shared" si="1"/>
        <v>SHIRLY LI</v>
      </c>
      <c r="C82" s="97" t="s">
        <v>753</v>
      </c>
      <c r="D82" s="116" t="s">
        <v>251</v>
      </c>
      <c r="K82" s="83"/>
      <c r="P82" s="83"/>
    </row>
    <row r="83">
      <c r="B83" s="116" t="str">
        <f t="shared" si="1"/>
        <v>ARNAV JAIN</v>
      </c>
      <c r="C83" s="116" t="s">
        <v>478</v>
      </c>
      <c r="D83" s="116" t="s">
        <v>524</v>
      </c>
      <c r="K83" s="83"/>
      <c r="P83" s="83"/>
    </row>
    <row r="84">
      <c r="B84" s="116" t="str">
        <f t="shared" si="1"/>
        <v>NIELS NOVOTNY</v>
      </c>
      <c r="C84" s="116" t="s">
        <v>152</v>
      </c>
      <c r="D84" s="116" t="s">
        <v>153</v>
      </c>
      <c r="K84" s="83"/>
      <c r="P84" s="83"/>
    </row>
    <row r="85">
      <c r="B85" s="116" t="str">
        <f t="shared" si="1"/>
        <v>ALEX MITEV</v>
      </c>
      <c r="C85" s="97" t="s">
        <v>756</v>
      </c>
      <c r="D85" s="116" t="s">
        <v>165</v>
      </c>
      <c r="K85" s="83"/>
      <c r="P85" s="83"/>
    </row>
    <row r="86">
      <c r="B86" s="116" t="str">
        <f t="shared" si="1"/>
        <v>JAYDEN CHHABRA</v>
      </c>
      <c r="C86" s="116" t="s">
        <v>174</v>
      </c>
      <c r="D86" s="116" t="s">
        <v>175</v>
      </c>
      <c r="K86" s="83"/>
      <c r="P86" s="83"/>
    </row>
    <row r="87">
      <c r="B87" s="116" t="str">
        <f t="shared" si="1"/>
        <v>CHRISTOPHER ZHU</v>
      </c>
      <c r="C87" s="116" t="s">
        <v>602</v>
      </c>
      <c r="D87" s="116" t="s">
        <v>603</v>
      </c>
      <c r="K87" s="83"/>
      <c r="P87" s="83"/>
    </row>
    <row r="88">
      <c r="B88" s="116" t="str">
        <f t="shared" si="1"/>
        <v>KAIDEN BIGGINS</v>
      </c>
      <c r="C88" s="116" t="s">
        <v>222</v>
      </c>
      <c r="D88" s="116" t="s">
        <v>223</v>
      </c>
      <c r="K88" s="83"/>
      <c r="P88" s="83"/>
    </row>
    <row r="89">
      <c r="B89" s="116" t="str">
        <f t="shared" si="1"/>
        <v>TERRY ZHANG</v>
      </c>
      <c r="C89" s="116" t="s">
        <v>231</v>
      </c>
      <c r="D89" s="116" t="s">
        <v>232</v>
      </c>
      <c r="K89" s="83"/>
      <c r="P89" s="83"/>
    </row>
    <row r="90">
      <c r="B90" s="116" t="str">
        <f t="shared" si="1"/>
        <v>MAHAVIRA PAKANATI</v>
      </c>
      <c r="C90" s="116" t="s">
        <v>239</v>
      </c>
      <c r="D90" s="116" t="s">
        <v>240</v>
      </c>
      <c r="K90" s="83"/>
      <c r="P90" s="83"/>
    </row>
    <row r="91">
      <c r="B91" s="116" t="str">
        <f t="shared" si="1"/>
        <v>HECTOR VALDEZ ORTIZ </v>
      </c>
      <c r="C91" s="116" t="s">
        <v>259</v>
      </c>
      <c r="D91" s="116" t="s">
        <v>260</v>
      </c>
      <c r="K91" s="83"/>
      <c r="P91" s="83"/>
    </row>
    <row r="92">
      <c r="B92" s="116" t="str">
        <f t="shared" si="1"/>
        <v>KELLY CHANG</v>
      </c>
      <c r="C92" s="116" t="s">
        <v>393</v>
      </c>
      <c r="D92" s="116" t="s">
        <v>394</v>
      </c>
      <c r="K92" s="83"/>
      <c r="P92" s="83"/>
    </row>
    <row r="93">
      <c r="B93" s="116" t="str">
        <f t="shared" si="1"/>
        <v>EVAN SUN</v>
      </c>
      <c r="C93" s="97" t="s">
        <v>279</v>
      </c>
      <c r="D93" s="97" t="s">
        <v>280</v>
      </c>
      <c r="K93" s="83"/>
      <c r="P93" s="83"/>
    </row>
    <row r="94">
      <c r="B94" s="116" t="str">
        <f t="shared" si="1"/>
        <v>HARRIET KROGER</v>
      </c>
      <c r="C94" s="97" t="s">
        <v>442</v>
      </c>
      <c r="D94" s="97" t="s">
        <v>443</v>
      </c>
      <c r="K94" s="83"/>
      <c r="P94" s="83"/>
    </row>
    <row r="95">
      <c r="B95" s="116" t="str">
        <f t="shared" si="1"/>
        <v>ARNAV SHARMA</v>
      </c>
      <c r="C95" s="116" t="s">
        <v>478</v>
      </c>
      <c r="D95" s="116" t="s">
        <v>373</v>
      </c>
      <c r="K95" s="83"/>
      <c r="P95" s="83"/>
    </row>
    <row r="96">
      <c r="B96" s="116" t="str">
        <f t="shared" si="1"/>
        <v>SHAYAAN OBAIDULLAH</v>
      </c>
      <c r="C96" s="116" t="s">
        <v>505</v>
      </c>
      <c r="D96" s="116" t="s">
        <v>506</v>
      </c>
      <c r="K96" s="83"/>
      <c r="P96" s="83"/>
    </row>
    <row r="97">
      <c r="B97" s="116" t="str">
        <f t="shared" si="1"/>
        <v>HENRI ACOSTA</v>
      </c>
      <c r="C97" s="116" t="s">
        <v>101</v>
      </c>
      <c r="D97" s="116" t="s">
        <v>102</v>
      </c>
      <c r="K97" s="83"/>
      <c r="P97" s="83"/>
    </row>
    <row r="98">
      <c r="B98" s="116" t="str">
        <f t="shared" si="1"/>
        <v>JUNE  SPRADLEY</v>
      </c>
      <c r="C98" s="97" t="s">
        <v>710</v>
      </c>
      <c r="D98" s="97" t="s">
        <v>634</v>
      </c>
      <c r="K98" s="83"/>
      <c r="P98" s="83"/>
    </row>
    <row r="99">
      <c r="B99" s="116" t="str">
        <f t="shared" si="1"/>
        <v>AKEMI KAWANABE</v>
      </c>
      <c r="C99" s="116" t="s">
        <v>593</v>
      </c>
      <c r="D99" s="116" t="s">
        <v>594</v>
      </c>
      <c r="K99" s="83"/>
      <c r="P99" s="83"/>
    </row>
    <row r="100">
      <c r="B100" s="116" t="str">
        <f t="shared" si="1"/>
        <v>ANANYA GUPTA</v>
      </c>
      <c r="C100" s="116" t="s">
        <v>185</v>
      </c>
      <c r="D100" s="116" t="s">
        <v>186</v>
      </c>
      <c r="K100" s="83"/>
      <c r="P100" s="83"/>
    </row>
    <row r="101">
      <c r="B101" s="116" t="str">
        <f t="shared" si="1"/>
        <v>AVI NOVOTNY </v>
      </c>
      <c r="C101" s="116" t="s">
        <v>617</v>
      </c>
      <c r="D101" s="116" t="s">
        <v>618</v>
      </c>
      <c r="K101" s="83"/>
      <c r="P101" s="83"/>
    </row>
    <row r="102">
      <c r="B102" s="116" t="str">
        <f t="shared" si="1"/>
        <v>AVA MARCHIEL</v>
      </c>
      <c r="C102" s="116" t="s">
        <v>212</v>
      </c>
      <c r="D102" s="116" t="s">
        <v>213</v>
      </c>
      <c r="K102" s="83"/>
      <c r="P102" s="83"/>
    </row>
    <row r="103">
      <c r="B103" s="116" t="str">
        <f t="shared" si="1"/>
        <v>CALEB ROSSI</v>
      </c>
      <c r="C103" s="116" t="s">
        <v>91</v>
      </c>
      <c r="D103" s="116" t="s">
        <v>92</v>
      </c>
      <c r="K103" s="83"/>
      <c r="P103" s="83"/>
    </row>
    <row r="104">
      <c r="B104" s="116" t="str">
        <f t="shared" si="1"/>
        <v>TRISHA KURIYAL</v>
      </c>
      <c r="C104" s="116" t="s">
        <v>130</v>
      </c>
      <c r="D104" s="116" t="s">
        <v>131</v>
      </c>
      <c r="K104" s="83"/>
      <c r="P104" s="83"/>
    </row>
    <row r="105">
      <c r="B105" s="116" t="str">
        <f t="shared" si="1"/>
        <v>RITHVIK  NINGANOLA </v>
      </c>
      <c r="C105" s="116" t="s">
        <v>141</v>
      </c>
      <c r="D105" s="116" t="s">
        <v>142</v>
      </c>
      <c r="K105" s="83"/>
      <c r="P105" s="83"/>
    </row>
    <row r="106">
      <c r="B106" s="116" t="str">
        <f t="shared" si="1"/>
        <v>RISHI ADDANKI</v>
      </c>
      <c r="C106" s="116" t="s">
        <v>608</v>
      </c>
      <c r="D106" s="116" t="s">
        <v>609</v>
      </c>
      <c r="K106" s="83"/>
      <c r="P106" s="83"/>
    </row>
    <row r="107">
      <c r="B107" s="116" t="str">
        <f t="shared" si="1"/>
        <v>GABRIELA RIVERA</v>
      </c>
      <c r="C107" s="116" t="s">
        <v>194</v>
      </c>
      <c r="D107" s="116" t="s">
        <v>195</v>
      </c>
      <c r="K107" s="83"/>
      <c r="P107" s="83"/>
    </row>
    <row r="108">
      <c r="B108" s="116" t="str">
        <f t="shared" si="1"/>
        <v>ROMINA CASTELLANOS</v>
      </c>
      <c r="C108" s="116" t="s">
        <v>204</v>
      </c>
      <c r="D108" s="116" t="s">
        <v>205</v>
      </c>
      <c r="K108" s="83"/>
      <c r="P108" s="83"/>
    </row>
    <row r="109">
      <c r="B109" s="116" t="str">
        <f t="shared" si="1"/>
        <v>ESTELLA LI</v>
      </c>
      <c r="C109" s="116" t="s">
        <v>250</v>
      </c>
      <c r="D109" s="116" t="s">
        <v>251</v>
      </c>
      <c r="K109" s="83"/>
      <c r="P109" s="83"/>
    </row>
    <row r="110">
      <c r="B110" s="116" t="str">
        <f t="shared" si="1"/>
        <v>AJ DEPPERSCHMIDT </v>
      </c>
      <c r="C110" s="97" t="s">
        <v>767</v>
      </c>
      <c r="D110" s="116" t="s">
        <v>270</v>
      </c>
      <c r="K110" s="83"/>
      <c r="P110" s="83"/>
    </row>
    <row r="111">
      <c r="B111" s="116" t="str">
        <f t="shared" si="1"/>
        <v>ANISHKA SINHA</v>
      </c>
      <c r="C111" s="97" t="s">
        <v>433</v>
      </c>
      <c r="D111" s="97" t="s">
        <v>434</v>
      </c>
      <c r="K111" s="83"/>
      <c r="P111" s="83"/>
    </row>
    <row r="112">
      <c r="K112" s="83"/>
      <c r="P112" s="83"/>
    </row>
    <row r="113">
      <c r="K113" s="83"/>
      <c r="P113" s="83"/>
    </row>
    <row r="114">
      <c r="K114" s="83"/>
      <c r="P114" s="83"/>
    </row>
    <row r="115">
      <c r="K115" s="83"/>
      <c r="P115" s="83"/>
    </row>
    <row r="116">
      <c r="K116" s="83"/>
      <c r="P116" s="83"/>
    </row>
    <row r="117">
      <c r="K117" s="83"/>
      <c r="P117" s="83"/>
    </row>
    <row r="118">
      <c r="K118" s="83"/>
      <c r="P118" s="83"/>
    </row>
    <row r="119">
      <c r="K119" s="83"/>
      <c r="P119" s="83"/>
    </row>
    <row r="120">
      <c r="K120" s="83"/>
      <c r="P120" s="83"/>
    </row>
    <row r="121">
      <c r="K121" s="83"/>
      <c r="P121" s="83"/>
    </row>
    <row r="122">
      <c r="K122" s="83"/>
      <c r="P122" s="83"/>
    </row>
    <row r="123">
      <c r="K123" s="83"/>
      <c r="P123" s="83"/>
    </row>
    <row r="124">
      <c r="K124" s="83"/>
      <c r="P124" s="83"/>
    </row>
    <row r="125">
      <c r="K125" s="83"/>
      <c r="P125" s="83"/>
    </row>
    <row r="126">
      <c r="K126" s="83"/>
      <c r="P126" s="83"/>
    </row>
    <row r="127">
      <c r="K127" s="83"/>
      <c r="P127" s="83"/>
    </row>
    <row r="128">
      <c r="K128" s="83"/>
      <c r="P128" s="83"/>
    </row>
    <row r="129">
      <c r="K129" s="83"/>
      <c r="P129" s="83"/>
    </row>
    <row r="130">
      <c r="K130" s="83"/>
      <c r="P130" s="83"/>
    </row>
    <row r="131">
      <c r="K131" s="83"/>
      <c r="P131" s="83"/>
    </row>
    <row r="132">
      <c r="K132" s="83"/>
      <c r="P132" s="83"/>
    </row>
    <row r="133">
      <c r="K133" s="83"/>
      <c r="P133" s="83"/>
    </row>
    <row r="134">
      <c r="K134" s="83"/>
      <c r="P134" s="83"/>
    </row>
    <row r="135">
      <c r="K135" s="83"/>
      <c r="P135" s="83"/>
    </row>
    <row r="136">
      <c r="K136" s="83"/>
      <c r="P136" s="83"/>
    </row>
    <row r="137">
      <c r="K137" s="83"/>
      <c r="P137" s="83"/>
    </row>
    <row r="138">
      <c r="K138" s="83"/>
      <c r="P138" s="83"/>
    </row>
    <row r="139">
      <c r="K139" s="83"/>
      <c r="P139" s="83"/>
    </row>
    <row r="140">
      <c r="K140" s="83"/>
      <c r="P140" s="83"/>
    </row>
    <row r="141">
      <c r="K141" s="83"/>
      <c r="P141" s="83"/>
    </row>
    <row r="142">
      <c r="K142" s="83"/>
      <c r="P142" s="83"/>
    </row>
    <row r="143">
      <c r="K143" s="83"/>
      <c r="P143" s="83"/>
    </row>
    <row r="144">
      <c r="K144" s="83"/>
      <c r="P144" s="83"/>
    </row>
    <row r="145">
      <c r="K145" s="83"/>
      <c r="P145" s="83"/>
    </row>
    <row r="146">
      <c r="K146" s="83"/>
      <c r="P146" s="83"/>
    </row>
    <row r="147">
      <c r="K147" s="83"/>
      <c r="P147" s="83"/>
    </row>
    <row r="148">
      <c r="K148" s="83"/>
      <c r="P148" s="83"/>
    </row>
    <row r="149">
      <c r="K149" s="83"/>
      <c r="P149" s="83"/>
    </row>
    <row r="150">
      <c r="K150" s="83"/>
      <c r="P150" s="83"/>
    </row>
    <row r="151">
      <c r="K151" s="83"/>
      <c r="P151" s="83"/>
    </row>
    <row r="152">
      <c r="K152" s="83"/>
      <c r="P152" s="83"/>
    </row>
    <row r="153">
      <c r="K153" s="83"/>
      <c r="P153" s="83"/>
    </row>
    <row r="154">
      <c r="K154" s="83"/>
      <c r="P154" s="83"/>
    </row>
    <row r="155">
      <c r="K155" s="83"/>
      <c r="P155" s="83"/>
    </row>
    <row r="156">
      <c r="K156" s="83"/>
      <c r="P156" s="83"/>
    </row>
    <row r="157">
      <c r="K157" s="83"/>
      <c r="P157" s="83"/>
    </row>
    <row r="158">
      <c r="K158" s="83"/>
      <c r="P158" s="83"/>
    </row>
    <row r="159">
      <c r="K159" s="83"/>
      <c r="P159" s="83"/>
    </row>
    <row r="160">
      <c r="K160" s="83"/>
      <c r="P160" s="83"/>
    </row>
    <row r="161">
      <c r="K161" s="83"/>
      <c r="P161" s="83"/>
    </row>
    <row r="162">
      <c r="K162" s="83"/>
      <c r="P162" s="83"/>
    </row>
    <row r="163">
      <c r="K163" s="83"/>
      <c r="P163" s="83"/>
    </row>
    <row r="164">
      <c r="K164" s="83"/>
      <c r="P164" s="83"/>
    </row>
    <row r="165">
      <c r="K165" s="83"/>
      <c r="P165" s="83"/>
    </row>
    <row r="166">
      <c r="K166" s="83"/>
      <c r="P166" s="83"/>
    </row>
    <row r="167">
      <c r="K167" s="83"/>
      <c r="P167" s="83"/>
    </row>
    <row r="168">
      <c r="K168" s="83"/>
      <c r="P168" s="83"/>
    </row>
    <row r="169">
      <c r="K169" s="83"/>
      <c r="P169" s="83"/>
    </row>
    <row r="170">
      <c r="K170" s="83"/>
      <c r="P170" s="83"/>
    </row>
    <row r="171">
      <c r="K171" s="83"/>
      <c r="P171" s="83"/>
    </row>
    <row r="172">
      <c r="K172" s="83"/>
      <c r="P172" s="83"/>
    </row>
    <row r="173">
      <c r="K173" s="83"/>
      <c r="P173" s="83"/>
    </row>
    <row r="174">
      <c r="K174" s="83"/>
      <c r="P174" s="83"/>
    </row>
    <row r="175">
      <c r="K175" s="83"/>
      <c r="P175" s="83"/>
    </row>
    <row r="176">
      <c r="K176" s="83"/>
      <c r="P176" s="83"/>
    </row>
    <row r="177">
      <c r="K177" s="83"/>
      <c r="P177" s="83"/>
    </row>
    <row r="178">
      <c r="K178" s="83"/>
      <c r="P178" s="83"/>
    </row>
    <row r="179">
      <c r="K179" s="83"/>
      <c r="P179" s="83"/>
    </row>
    <row r="180">
      <c r="K180" s="83"/>
      <c r="P180" s="83"/>
    </row>
    <row r="181">
      <c r="K181" s="83"/>
      <c r="P181" s="83"/>
    </row>
    <row r="182">
      <c r="K182" s="83"/>
      <c r="P182" s="83"/>
    </row>
    <row r="183">
      <c r="K183" s="83"/>
      <c r="P183" s="83"/>
    </row>
    <row r="184">
      <c r="K184" s="83"/>
      <c r="P184" s="83"/>
    </row>
    <row r="185">
      <c r="K185" s="83"/>
      <c r="P185" s="83"/>
    </row>
    <row r="186">
      <c r="K186" s="83"/>
      <c r="P186" s="83"/>
    </row>
    <row r="187">
      <c r="K187" s="83"/>
      <c r="P187" s="83"/>
    </row>
    <row r="188">
      <c r="K188" s="83"/>
      <c r="P188" s="83"/>
    </row>
    <row r="189">
      <c r="K189" s="83"/>
      <c r="P189" s="83"/>
    </row>
    <row r="190">
      <c r="K190" s="83"/>
      <c r="P190" s="83"/>
    </row>
    <row r="191">
      <c r="K191" s="83"/>
      <c r="P191" s="83"/>
    </row>
    <row r="192">
      <c r="K192" s="83"/>
      <c r="P192" s="83"/>
    </row>
    <row r="193">
      <c r="K193" s="83"/>
      <c r="P193" s="83"/>
    </row>
    <row r="194">
      <c r="K194" s="83"/>
      <c r="P194" s="83"/>
    </row>
    <row r="195">
      <c r="K195" s="83"/>
      <c r="P195" s="83"/>
    </row>
    <row r="196">
      <c r="K196" s="83"/>
      <c r="P196" s="83"/>
    </row>
    <row r="197">
      <c r="K197" s="83"/>
      <c r="P197" s="83"/>
    </row>
    <row r="198">
      <c r="K198" s="83"/>
      <c r="P198" s="83"/>
    </row>
    <row r="199">
      <c r="K199" s="83"/>
      <c r="P199" s="83"/>
    </row>
    <row r="200">
      <c r="K200" s="83"/>
      <c r="P200" s="83"/>
    </row>
    <row r="201">
      <c r="K201" s="83"/>
      <c r="P201" s="83"/>
    </row>
    <row r="202">
      <c r="K202" s="83"/>
      <c r="P202" s="83"/>
    </row>
    <row r="203">
      <c r="K203" s="83"/>
      <c r="P203" s="83"/>
    </row>
    <row r="204">
      <c r="K204" s="83"/>
      <c r="P204" s="83"/>
    </row>
    <row r="205">
      <c r="K205" s="83"/>
      <c r="P205" s="83"/>
    </row>
    <row r="206">
      <c r="K206" s="83"/>
      <c r="P206" s="83"/>
    </row>
    <row r="207">
      <c r="K207" s="83"/>
      <c r="P207" s="83"/>
    </row>
    <row r="208">
      <c r="K208" s="83"/>
      <c r="P208" s="83"/>
    </row>
    <row r="209">
      <c r="K209" s="83"/>
      <c r="P209" s="83"/>
    </row>
    <row r="210">
      <c r="K210" s="83"/>
      <c r="P210" s="83"/>
    </row>
    <row r="211">
      <c r="K211" s="83"/>
      <c r="P211" s="83"/>
    </row>
    <row r="212">
      <c r="K212" s="83"/>
      <c r="P212" s="83"/>
    </row>
    <row r="213">
      <c r="K213" s="83"/>
      <c r="P213" s="83"/>
    </row>
    <row r="214">
      <c r="K214" s="83"/>
      <c r="P214" s="83"/>
    </row>
    <row r="215">
      <c r="K215" s="83"/>
      <c r="P215" s="83"/>
    </row>
    <row r="216">
      <c r="K216" s="83"/>
      <c r="P216" s="83"/>
    </row>
    <row r="217">
      <c r="K217" s="83"/>
      <c r="P217" s="83"/>
    </row>
    <row r="218">
      <c r="K218" s="83"/>
      <c r="P218" s="83"/>
    </row>
    <row r="219">
      <c r="K219" s="83"/>
      <c r="P219" s="83"/>
    </row>
    <row r="220">
      <c r="K220" s="83"/>
      <c r="P220" s="83"/>
    </row>
    <row r="221">
      <c r="K221" s="83"/>
      <c r="P221" s="83"/>
    </row>
    <row r="222">
      <c r="K222" s="83"/>
      <c r="P222" s="83"/>
    </row>
    <row r="223">
      <c r="K223" s="83"/>
      <c r="P223" s="83"/>
    </row>
    <row r="224">
      <c r="K224" s="83"/>
      <c r="P224" s="83"/>
    </row>
    <row r="225">
      <c r="K225" s="83"/>
      <c r="P225" s="83"/>
    </row>
    <row r="226">
      <c r="K226" s="83"/>
      <c r="P226" s="83"/>
    </row>
    <row r="227">
      <c r="K227" s="83"/>
      <c r="P227" s="83"/>
    </row>
    <row r="228">
      <c r="K228" s="83"/>
      <c r="P228" s="83"/>
    </row>
    <row r="229">
      <c r="K229" s="83"/>
      <c r="P229" s="83"/>
    </row>
    <row r="230">
      <c r="K230" s="83"/>
      <c r="P230" s="83"/>
    </row>
    <row r="231">
      <c r="K231" s="83"/>
      <c r="P231" s="83"/>
    </row>
    <row r="232">
      <c r="K232" s="83"/>
      <c r="P232" s="83"/>
    </row>
    <row r="233">
      <c r="K233" s="83"/>
      <c r="P233" s="83"/>
    </row>
    <row r="234">
      <c r="K234" s="83"/>
      <c r="P234" s="83"/>
    </row>
    <row r="235">
      <c r="K235" s="83"/>
      <c r="P235" s="83"/>
    </row>
    <row r="236">
      <c r="K236" s="83"/>
      <c r="P236" s="83"/>
    </row>
    <row r="237">
      <c r="K237" s="83"/>
      <c r="P237" s="83"/>
    </row>
    <row r="238">
      <c r="K238" s="83"/>
      <c r="P238" s="83"/>
    </row>
    <row r="239">
      <c r="K239" s="83"/>
      <c r="P239" s="83"/>
    </row>
    <row r="240">
      <c r="K240" s="83"/>
      <c r="P240" s="83"/>
    </row>
    <row r="241">
      <c r="K241" s="83"/>
      <c r="P241" s="83"/>
    </row>
    <row r="242">
      <c r="K242" s="83"/>
      <c r="P242" s="83"/>
    </row>
    <row r="243">
      <c r="K243" s="83"/>
      <c r="P243" s="83"/>
    </row>
    <row r="244">
      <c r="K244" s="83"/>
      <c r="P244" s="83"/>
    </row>
    <row r="245">
      <c r="K245" s="83"/>
      <c r="P245" s="83"/>
    </row>
    <row r="246">
      <c r="K246" s="83"/>
      <c r="P246" s="83"/>
    </row>
    <row r="247">
      <c r="K247" s="83"/>
      <c r="P247" s="83"/>
    </row>
    <row r="248">
      <c r="K248" s="83"/>
      <c r="P248" s="83"/>
    </row>
    <row r="249">
      <c r="K249" s="83"/>
      <c r="P249" s="83"/>
    </row>
    <row r="250">
      <c r="K250" s="83"/>
      <c r="P250" s="83"/>
    </row>
    <row r="251">
      <c r="K251" s="83"/>
      <c r="P251" s="83"/>
    </row>
    <row r="252">
      <c r="K252" s="83"/>
      <c r="P252" s="83"/>
    </row>
    <row r="253">
      <c r="K253" s="83"/>
      <c r="P253" s="83"/>
    </row>
    <row r="254">
      <c r="K254" s="83"/>
      <c r="P254" s="83"/>
    </row>
    <row r="255">
      <c r="K255" s="83"/>
      <c r="P255" s="83"/>
    </row>
    <row r="256">
      <c r="K256" s="83"/>
      <c r="P256" s="83"/>
    </row>
    <row r="257">
      <c r="K257" s="83"/>
      <c r="P257" s="83"/>
    </row>
    <row r="258">
      <c r="K258" s="83"/>
      <c r="P258" s="83"/>
    </row>
    <row r="259">
      <c r="K259" s="83"/>
      <c r="P259" s="83"/>
    </row>
    <row r="260">
      <c r="K260" s="83"/>
      <c r="P260" s="83"/>
    </row>
    <row r="261">
      <c r="K261" s="83"/>
      <c r="P261" s="83"/>
    </row>
    <row r="262">
      <c r="K262" s="83"/>
      <c r="P262" s="83"/>
    </row>
    <row r="263">
      <c r="K263" s="83"/>
      <c r="P263" s="83"/>
    </row>
    <row r="264">
      <c r="K264" s="83"/>
      <c r="P264" s="83"/>
    </row>
    <row r="265">
      <c r="K265" s="83"/>
      <c r="P265" s="83"/>
    </row>
    <row r="266">
      <c r="K266" s="83"/>
      <c r="P266" s="83"/>
    </row>
    <row r="267">
      <c r="K267" s="83"/>
      <c r="P267" s="83"/>
    </row>
    <row r="268">
      <c r="K268" s="83"/>
      <c r="P268" s="83"/>
    </row>
    <row r="269">
      <c r="K269" s="83"/>
      <c r="P269" s="83"/>
    </row>
    <row r="270">
      <c r="K270" s="83"/>
      <c r="P270" s="83"/>
    </row>
    <row r="271">
      <c r="K271" s="83"/>
      <c r="P271" s="83"/>
    </row>
    <row r="272">
      <c r="K272" s="83"/>
      <c r="P272" s="83"/>
    </row>
    <row r="273">
      <c r="K273" s="83"/>
      <c r="P273" s="83"/>
    </row>
    <row r="274">
      <c r="K274" s="83"/>
      <c r="P274" s="83"/>
    </row>
    <row r="275">
      <c r="K275" s="83"/>
      <c r="P275" s="83"/>
    </row>
    <row r="276">
      <c r="K276" s="83"/>
      <c r="P276" s="83"/>
    </row>
    <row r="277">
      <c r="K277" s="83"/>
      <c r="P277" s="83"/>
    </row>
    <row r="278">
      <c r="K278" s="83"/>
      <c r="P278" s="83"/>
    </row>
    <row r="279">
      <c r="K279" s="83"/>
      <c r="P279" s="83"/>
    </row>
    <row r="280">
      <c r="K280" s="83"/>
      <c r="P280" s="83"/>
    </row>
    <row r="281">
      <c r="K281" s="83"/>
      <c r="P281" s="83"/>
    </row>
    <row r="282">
      <c r="K282" s="83"/>
      <c r="P282" s="83"/>
    </row>
    <row r="283">
      <c r="K283" s="83"/>
      <c r="P283" s="83"/>
    </row>
    <row r="284">
      <c r="K284" s="83"/>
      <c r="P284" s="83"/>
    </row>
    <row r="285">
      <c r="K285" s="83"/>
      <c r="P285" s="83"/>
    </row>
    <row r="286">
      <c r="K286" s="83"/>
      <c r="P286" s="83"/>
    </row>
    <row r="287">
      <c r="K287" s="83"/>
      <c r="P287" s="83"/>
    </row>
    <row r="288">
      <c r="K288" s="83"/>
      <c r="P288" s="83"/>
    </row>
    <row r="289">
      <c r="K289" s="83"/>
      <c r="P289" s="83"/>
    </row>
    <row r="290">
      <c r="K290" s="83"/>
      <c r="P290" s="83"/>
    </row>
    <row r="291">
      <c r="K291" s="83"/>
      <c r="P291" s="83"/>
    </row>
    <row r="292">
      <c r="K292" s="83"/>
      <c r="P292" s="83"/>
    </row>
    <row r="293">
      <c r="K293" s="83"/>
      <c r="P293" s="83"/>
    </row>
    <row r="294">
      <c r="K294" s="83"/>
      <c r="P294" s="83"/>
    </row>
    <row r="295">
      <c r="K295" s="83"/>
      <c r="P295" s="83"/>
    </row>
    <row r="296">
      <c r="K296" s="83"/>
      <c r="P296" s="83"/>
    </row>
    <row r="297">
      <c r="K297" s="83"/>
      <c r="P297" s="83"/>
    </row>
    <row r="298">
      <c r="K298" s="83"/>
      <c r="P298" s="83"/>
    </row>
    <row r="299">
      <c r="K299" s="83"/>
      <c r="P299" s="83"/>
    </row>
    <row r="300">
      <c r="K300" s="83"/>
      <c r="P300" s="83"/>
    </row>
    <row r="301">
      <c r="K301" s="83"/>
      <c r="P301" s="83"/>
    </row>
    <row r="302">
      <c r="K302" s="83"/>
      <c r="P302" s="83"/>
    </row>
    <row r="303">
      <c r="K303" s="83"/>
      <c r="P303" s="83"/>
    </row>
    <row r="304">
      <c r="K304" s="83"/>
      <c r="P304" s="83"/>
    </row>
    <row r="305">
      <c r="K305" s="83"/>
      <c r="P305" s="83"/>
    </row>
    <row r="306">
      <c r="K306" s="83"/>
      <c r="P306" s="83"/>
    </row>
    <row r="307">
      <c r="K307" s="83"/>
      <c r="P307" s="83"/>
    </row>
    <row r="308">
      <c r="K308" s="83"/>
      <c r="P308" s="83"/>
    </row>
    <row r="309">
      <c r="K309" s="83"/>
      <c r="P309" s="83"/>
    </row>
    <row r="310">
      <c r="K310" s="83"/>
      <c r="P310" s="83"/>
    </row>
    <row r="311">
      <c r="K311" s="83"/>
      <c r="P311" s="83"/>
    </row>
    <row r="312">
      <c r="K312" s="83"/>
      <c r="P312" s="83"/>
    </row>
    <row r="313">
      <c r="K313" s="83"/>
      <c r="P313" s="83"/>
    </row>
    <row r="314">
      <c r="K314" s="83"/>
      <c r="P314" s="83"/>
    </row>
    <row r="315">
      <c r="K315" s="83"/>
      <c r="P315" s="83"/>
    </row>
    <row r="316">
      <c r="K316" s="83"/>
      <c r="P316" s="83"/>
    </row>
    <row r="317">
      <c r="K317" s="83"/>
      <c r="P317" s="83"/>
    </row>
    <row r="318">
      <c r="K318" s="83"/>
      <c r="P318" s="83"/>
    </row>
    <row r="319">
      <c r="K319" s="83"/>
      <c r="P319" s="83"/>
    </row>
    <row r="320">
      <c r="K320" s="83"/>
      <c r="P320" s="83"/>
    </row>
    <row r="321">
      <c r="K321" s="83"/>
      <c r="P321" s="83"/>
    </row>
    <row r="322">
      <c r="K322" s="83"/>
      <c r="P322" s="83"/>
    </row>
    <row r="323">
      <c r="K323" s="83"/>
      <c r="P323" s="83"/>
    </row>
    <row r="324">
      <c r="K324" s="83"/>
      <c r="P324" s="83"/>
    </row>
    <row r="325">
      <c r="K325" s="83"/>
      <c r="P325" s="83"/>
    </row>
    <row r="326">
      <c r="K326" s="83"/>
      <c r="P326" s="83"/>
    </row>
    <row r="327">
      <c r="K327" s="83"/>
      <c r="P327" s="83"/>
    </row>
    <row r="328">
      <c r="K328" s="83"/>
      <c r="P328" s="83"/>
    </row>
    <row r="329">
      <c r="K329" s="83"/>
      <c r="P329" s="83"/>
    </row>
    <row r="330">
      <c r="K330" s="83"/>
      <c r="P330" s="83"/>
    </row>
    <row r="331">
      <c r="K331" s="83"/>
      <c r="P331" s="83"/>
    </row>
    <row r="332">
      <c r="K332" s="83"/>
      <c r="P332" s="83"/>
    </row>
    <row r="333">
      <c r="K333" s="83"/>
      <c r="P333" s="83"/>
    </row>
    <row r="334">
      <c r="K334" s="83"/>
      <c r="P334" s="83"/>
    </row>
    <row r="335">
      <c r="K335" s="83"/>
      <c r="P335" s="83"/>
    </row>
    <row r="336">
      <c r="K336" s="83"/>
      <c r="P336" s="83"/>
    </row>
    <row r="337">
      <c r="K337" s="83"/>
      <c r="P337" s="83"/>
    </row>
    <row r="338">
      <c r="K338" s="83"/>
      <c r="P338" s="83"/>
    </row>
    <row r="339">
      <c r="K339" s="83"/>
      <c r="P339" s="83"/>
    </row>
    <row r="340">
      <c r="K340" s="83"/>
      <c r="P340" s="83"/>
    </row>
    <row r="341">
      <c r="K341" s="83"/>
      <c r="P341" s="83"/>
    </row>
    <row r="342">
      <c r="K342" s="83"/>
      <c r="P342" s="83"/>
    </row>
    <row r="343">
      <c r="K343" s="83"/>
      <c r="P343" s="83"/>
    </row>
    <row r="344">
      <c r="K344" s="83"/>
      <c r="P344" s="83"/>
    </row>
    <row r="345">
      <c r="K345" s="83"/>
      <c r="P345" s="83"/>
    </row>
    <row r="346">
      <c r="K346" s="83"/>
      <c r="P346" s="83"/>
    </row>
    <row r="347">
      <c r="K347" s="83"/>
      <c r="P347" s="83"/>
    </row>
    <row r="348">
      <c r="K348" s="83"/>
      <c r="P348" s="83"/>
    </row>
    <row r="349">
      <c r="K349" s="83"/>
      <c r="P349" s="83"/>
    </row>
    <row r="350">
      <c r="K350" s="83"/>
      <c r="P350" s="83"/>
    </row>
    <row r="351">
      <c r="K351" s="83"/>
      <c r="P351" s="83"/>
    </row>
    <row r="352">
      <c r="K352" s="83"/>
      <c r="P352" s="83"/>
    </row>
    <row r="353">
      <c r="K353" s="83"/>
      <c r="P353" s="83"/>
    </row>
    <row r="354">
      <c r="K354" s="83"/>
      <c r="P354" s="83"/>
    </row>
    <row r="355">
      <c r="K355" s="83"/>
      <c r="P355" s="83"/>
    </row>
    <row r="356">
      <c r="K356" s="83"/>
      <c r="P356" s="83"/>
    </row>
    <row r="357">
      <c r="K357" s="83"/>
      <c r="P357" s="83"/>
    </row>
    <row r="358">
      <c r="K358" s="83"/>
      <c r="P358" s="83"/>
    </row>
    <row r="359">
      <c r="K359" s="83"/>
      <c r="P359" s="83"/>
    </row>
    <row r="360">
      <c r="K360" s="83"/>
      <c r="P360" s="83"/>
    </row>
    <row r="361">
      <c r="K361" s="83"/>
      <c r="P361" s="83"/>
    </row>
    <row r="362">
      <c r="K362" s="83"/>
      <c r="P362" s="83"/>
    </row>
    <row r="363">
      <c r="K363" s="83"/>
      <c r="P363" s="83"/>
    </row>
    <row r="364">
      <c r="K364" s="83"/>
      <c r="P364" s="83"/>
    </row>
    <row r="365">
      <c r="K365" s="83"/>
      <c r="P365" s="83"/>
    </row>
    <row r="366">
      <c r="K366" s="83"/>
      <c r="P366" s="83"/>
    </row>
    <row r="367">
      <c r="K367" s="83"/>
      <c r="P367" s="83"/>
    </row>
    <row r="368">
      <c r="K368" s="83"/>
      <c r="P368" s="83"/>
    </row>
    <row r="369">
      <c r="K369" s="83"/>
      <c r="P369" s="83"/>
    </row>
    <row r="370">
      <c r="K370" s="83"/>
      <c r="P370" s="83"/>
    </row>
    <row r="371">
      <c r="K371" s="83"/>
      <c r="P371" s="83"/>
    </row>
    <row r="372">
      <c r="K372" s="83"/>
      <c r="P372" s="83"/>
    </row>
    <row r="373">
      <c r="K373" s="83"/>
      <c r="P373" s="83"/>
    </row>
    <row r="374">
      <c r="K374" s="83"/>
      <c r="P374" s="83"/>
    </row>
    <row r="375">
      <c r="K375" s="83"/>
      <c r="P375" s="83"/>
    </row>
    <row r="376">
      <c r="K376" s="83"/>
      <c r="P376" s="83"/>
    </row>
    <row r="377">
      <c r="K377" s="83"/>
      <c r="P377" s="83"/>
    </row>
    <row r="378">
      <c r="K378" s="83"/>
      <c r="P378" s="83"/>
    </row>
    <row r="379">
      <c r="K379" s="83"/>
      <c r="P379" s="83"/>
    </row>
    <row r="380">
      <c r="K380" s="83"/>
      <c r="P380" s="83"/>
    </row>
    <row r="381">
      <c r="K381" s="83"/>
      <c r="P381" s="83"/>
    </row>
    <row r="382">
      <c r="K382" s="83"/>
      <c r="P382" s="83"/>
    </row>
    <row r="383">
      <c r="K383" s="83"/>
      <c r="P383" s="83"/>
    </row>
    <row r="384">
      <c r="K384" s="83"/>
      <c r="P384" s="83"/>
    </row>
    <row r="385">
      <c r="K385" s="83"/>
      <c r="P385" s="83"/>
    </row>
    <row r="386">
      <c r="K386" s="83"/>
      <c r="P386" s="83"/>
    </row>
    <row r="387">
      <c r="K387" s="83"/>
      <c r="P387" s="83"/>
    </row>
    <row r="388">
      <c r="K388" s="83"/>
      <c r="P388" s="83"/>
    </row>
    <row r="389">
      <c r="K389" s="83"/>
      <c r="P389" s="83"/>
    </row>
    <row r="390">
      <c r="K390" s="83"/>
      <c r="P390" s="83"/>
    </row>
    <row r="391">
      <c r="K391" s="83"/>
      <c r="P391" s="83"/>
    </row>
    <row r="392">
      <c r="K392" s="83"/>
      <c r="P392" s="83"/>
    </row>
    <row r="393">
      <c r="K393" s="83"/>
      <c r="P393" s="83"/>
    </row>
    <row r="394">
      <c r="K394" s="83"/>
      <c r="P394" s="83"/>
    </row>
    <row r="395">
      <c r="K395" s="83"/>
      <c r="P395" s="83"/>
    </row>
    <row r="396">
      <c r="K396" s="83"/>
      <c r="P396" s="83"/>
    </row>
    <row r="397">
      <c r="K397" s="83"/>
      <c r="P397" s="83"/>
    </row>
    <row r="398">
      <c r="K398" s="83"/>
      <c r="P398" s="83"/>
    </row>
    <row r="399">
      <c r="K399" s="83"/>
      <c r="P399" s="83"/>
    </row>
    <row r="400">
      <c r="K400" s="83"/>
      <c r="P400" s="83"/>
    </row>
    <row r="401">
      <c r="K401" s="83"/>
      <c r="P401" s="83"/>
    </row>
    <row r="402">
      <c r="K402" s="83"/>
      <c r="P402" s="83"/>
    </row>
    <row r="403">
      <c r="K403" s="83"/>
      <c r="P403" s="83"/>
    </row>
    <row r="404">
      <c r="K404" s="83"/>
      <c r="P404" s="83"/>
    </row>
    <row r="405">
      <c r="K405" s="83"/>
      <c r="P405" s="83"/>
    </row>
    <row r="406">
      <c r="K406" s="83"/>
      <c r="P406" s="83"/>
    </row>
    <row r="407">
      <c r="K407" s="83"/>
      <c r="P407" s="83"/>
    </row>
    <row r="408">
      <c r="K408" s="83"/>
      <c r="P408" s="83"/>
    </row>
    <row r="409">
      <c r="K409" s="83"/>
      <c r="P409" s="83"/>
    </row>
    <row r="410">
      <c r="K410" s="83"/>
      <c r="P410" s="83"/>
    </row>
    <row r="411">
      <c r="K411" s="83"/>
      <c r="P411" s="83"/>
    </row>
    <row r="412">
      <c r="K412" s="83"/>
      <c r="P412" s="83"/>
    </row>
    <row r="413">
      <c r="K413" s="83"/>
      <c r="P413" s="83"/>
    </row>
    <row r="414">
      <c r="K414" s="83"/>
      <c r="P414" s="83"/>
    </row>
    <row r="415">
      <c r="K415" s="83"/>
      <c r="P415" s="83"/>
    </row>
    <row r="416">
      <c r="K416" s="83"/>
      <c r="P416" s="83"/>
    </row>
    <row r="417">
      <c r="K417" s="83"/>
      <c r="P417" s="83"/>
    </row>
    <row r="418">
      <c r="K418" s="83"/>
      <c r="P418" s="83"/>
    </row>
    <row r="419">
      <c r="K419" s="83"/>
      <c r="P419" s="83"/>
    </row>
    <row r="420">
      <c r="K420" s="83"/>
      <c r="P420" s="83"/>
    </row>
    <row r="421">
      <c r="K421" s="83"/>
      <c r="P421" s="83"/>
    </row>
    <row r="422">
      <c r="K422" s="83"/>
      <c r="P422" s="83"/>
    </row>
    <row r="423">
      <c r="K423" s="83"/>
      <c r="P423" s="83"/>
    </row>
    <row r="424">
      <c r="K424" s="83"/>
      <c r="P424" s="83"/>
    </row>
    <row r="425">
      <c r="K425" s="83"/>
      <c r="P425" s="83"/>
    </row>
    <row r="426">
      <c r="K426" s="83"/>
      <c r="P426" s="83"/>
    </row>
    <row r="427">
      <c r="K427" s="83"/>
      <c r="P427" s="83"/>
    </row>
    <row r="428">
      <c r="K428" s="83"/>
      <c r="P428" s="83"/>
    </row>
    <row r="429">
      <c r="K429" s="83"/>
      <c r="P429" s="83"/>
    </row>
    <row r="430">
      <c r="K430" s="83"/>
      <c r="P430" s="83"/>
    </row>
    <row r="431">
      <c r="K431" s="83"/>
      <c r="P431" s="83"/>
    </row>
    <row r="432">
      <c r="K432" s="83"/>
      <c r="P432" s="83"/>
    </row>
    <row r="433">
      <c r="K433" s="83"/>
      <c r="P433" s="83"/>
    </row>
    <row r="434">
      <c r="K434" s="83"/>
      <c r="P434" s="83"/>
    </row>
    <row r="435">
      <c r="K435" s="83"/>
      <c r="P435" s="83"/>
    </row>
    <row r="436">
      <c r="K436" s="83"/>
      <c r="P436" s="83"/>
    </row>
    <row r="437">
      <c r="K437" s="83"/>
      <c r="P437" s="83"/>
    </row>
    <row r="438">
      <c r="K438" s="83"/>
      <c r="P438" s="83"/>
    </row>
    <row r="439">
      <c r="K439" s="83"/>
      <c r="P439" s="83"/>
    </row>
    <row r="440">
      <c r="K440" s="83"/>
      <c r="P440" s="83"/>
    </row>
    <row r="441">
      <c r="K441" s="83"/>
      <c r="P441" s="83"/>
    </row>
    <row r="442">
      <c r="K442" s="83"/>
      <c r="P442" s="83"/>
    </row>
    <row r="443">
      <c r="K443" s="83"/>
      <c r="P443" s="83"/>
    </row>
    <row r="444">
      <c r="K444" s="83"/>
      <c r="P444" s="83"/>
    </row>
    <row r="445">
      <c r="K445" s="83"/>
      <c r="P445" s="83"/>
    </row>
    <row r="446">
      <c r="K446" s="83"/>
      <c r="P446" s="83"/>
    </row>
    <row r="447">
      <c r="K447" s="83"/>
      <c r="P447" s="83"/>
    </row>
    <row r="448">
      <c r="K448" s="83"/>
      <c r="P448" s="83"/>
    </row>
    <row r="449">
      <c r="K449" s="83"/>
      <c r="P449" s="83"/>
    </row>
    <row r="450">
      <c r="K450" s="83"/>
      <c r="P450" s="83"/>
    </row>
    <row r="451">
      <c r="K451" s="83"/>
      <c r="P451" s="83"/>
    </row>
    <row r="452">
      <c r="K452" s="83"/>
      <c r="P452" s="83"/>
    </row>
    <row r="453">
      <c r="K453" s="83"/>
      <c r="P453" s="83"/>
    </row>
    <row r="454">
      <c r="K454" s="83"/>
      <c r="P454" s="83"/>
    </row>
    <row r="455">
      <c r="K455" s="83"/>
      <c r="P455" s="83"/>
    </row>
    <row r="456">
      <c r="K456" s="83"/>
      <c r="P456" s="83"/>
    </row>
    <row r="457">
      <c r="K457" s="83"/>
      <c r="P457" s="83"/>
    </row>
    <row r="458">
      <c r="K458" s="83"/>
      <c r="P458" s="83"/>
    </row>
    <row r="459">
      <c r="K459" s="83"/>
      <c r="P459" s="83"/>
    </row>
    <row r="460">
      <c r="K460" s="83"/>
      <c r="P460" s="83"/>
    </row>
    <row r="461">
      <c r="K461" s="83"/>
      <c r="P461" s="83"/>
    </row>
    <row r="462">
      <c r="K462" s="83"/>
      <c r="P462" s="83"/>
    </row>
    <row r="463">
      <c r="K463" s="83"/>
      <c r="P463" s="83"/>
    </row>
    <row r="464">
      <c r="K464" s="83"/>
      <c r="P464" s="83"/>
    </row>
    <row r="465">
      <c r="K465" s="83"/>
      <c r="P465" s="83"/>
    </row>
    <row r="466">
      <c r="K466" s="83"/>
      <c r="P466" s="83"/>
    </row>
    <row r="467">
      <c r="K467" s="83"/>
      <c r="P467" s="83"/>
    </row>
    <row r="468">
      <c r="K468" s="83"/>
      <c r="P468" s="83"/>
    </row>
    <row r="469">
      <c r="K469" s="83"/>
      <c r="P469" s="83"/>
    </row>
    <row r="470">
      <c r="K470" s="83"/>
      <c r="P470" s="83"/>
    </row>
    <row r="471">
      <c r="K471" s="83"/>
      <c r="P471" s="83"/>
    </row>
    <row r="472">
      <c r="K472" s="83"/>
      <c r="P472" s="83"/>
    </row>
    <row r="473">
      <c r="K473" s="83"/>
      <c r="P473" s="83"/>
    </row>
    <row r="474">
      <c r="K474" s="83"/>
      <c r="P474" s="83"/>
    </row>
    <row r="475">
      <c r="K475" s="83"/>
      <c r="P475" s="83"/>
    </row>
    <row r="476">
      <c r="K476" s="83"/>
      <c r="P476" s="83"/>
    </row>
    <row r="477">
      <c r="K477" s="83"/>
      <c r="P477" s="83"/>
    </row>
    <row r="478">
      <c r="K478" s="83"/>
      <c r="P478" s="83"/>
    </row>
    <row r="479">
      <c r="K479" s="83"/>
      <c r="P479" s="83"/>
    </row>
    <row r="480">
      <c r="K480" s="83"/>
      <c r="P480" s="83"/>
    </row>
    <row r="481">
      <c r="K481" s="83"/>
      <c r="P481" s="83"/>
    </row>
    <row r="482">
      <c r="K482" s="83"/>
      <c r="P482" s="83"/>
    </row>
    <row r="483">
      <c r="K483" s="83"/>
      <c r="P483" s="83"/>
    </row>
    <row r="484">
      <c r="K484" s="83"/>
      <c r="P484" s="83"/>
    </row>
    <row r="485">
      <c r="K485" s="83"/>
      <c r="P485" s="83"/>
    </row>
    <row r="486">
      <c r="K486" s="83"/>
      <c r="P486" s="83"/>
    </row>
    <row r="487">
      <c r="K487" s="83"/>
      <c r="P487" s="83"/>
    </row>
    <row r="488">
      <c r="K488" s="83"/>
      <c r="P488" s="83"/>
    </row>
    <row r="489">
      <c r="K489" s="83"/>
      <c r="P489" s="83"/>
    </row>
    <row r="490">
      <c r="K490" s="83"/>
      <c r="P490" s="83"/>
    </row>
    <row r="491">
      <c r="K491" s="83"/>
      <c r="P491" s="83"/>
    </row>
    <row r="492">
      <c r="K492" s="83"/>
      <c r="P492" s="83"/>
    </row>
    <row r="493">
      <c r="K493" s="83"/>
      <c r="P493" s="83"/>
    </row>
    <row r="494">
      <c r="K494" s="83"/>
      <c r="P494" s="83"/>
    </row>
    <row r="495">
      <c r="K495" s="83"/>
      <c r="P495" s="83"/>
    </row>
    <row r="496">
      <c r="K496" s="83"/>
      <c r="P496" s="83"/>
    </row>
    <row r="497">
      <c r="K497" s="83"/>
      <c r="P497" s="83"/>
    </row>
    <row r="498">
      <c r="K498" s="83"/>
      <c r="P498" s="83"/>
    </row>
    <row r="499">
      <c r="K499" s="83"/>
      <c r="P499" s="83"/>
    </row>
    <row r="500">
      <c r="K500" s="83"/>
      <c r="P500" s="83"/>
    </row>
    <row r="501">
      <c r="K501" s="83"/>
      <c r="P501" s="83"/>
    </row>
    <row r="502">
      <c r="K502" s="83"/>
      <c r="P502" s="83"/>
    </row>
    <row r="503">
      <c r="K503" s="83"/>
      <c r="P503" s="83"/>
    </row>
    <row r="504">
      <c r="K504" s="83"/>
      <c r="P504" s="83"/>
    </row>
    <row r="505">
      <c r="K505" s="83"/>
      <c r="P505" s="83"/>
    </row>
    <row r="506">
      <c r="K506" s="83"/>
      <c r="P506" s="83"/>
    </row>
    <row r="507">
      <c r="K507" s="83"/>
      <c r="P507" s="83"/>
    </row>
    <row r="508">
      <c r="K508" s="83"/>
      <c r="P508" s="83"/>
    </row>
    <row r="509">
      <c r="K509" s="83"/>
      <c r="P509" s="83"/>
    </row>
    <row r="510">
      <c r="K510" s="83"/>
      <c r="P510" s="83"/>
    </row>
    <row r="511">
      <c r="K511" s="83"/>
      <c r="P511" s="83"/>
    </row>
    <row r="512">
      <c r="K512" s="83"/>
      <c r="P512" s="83"/>
    </row>
    <row r="513">
      <c r="K513" s="83"/>
      <c r="P513" s="83"/>
    </row>
    <row r="514">
      <c r="K514" s="83"/>
      <c r="P514" s="83"/>
    </row>
    <row r="515">
      <c r="K515" s="83"/>
      <c r="P515" s="83"/>
    </row>
    <row r="516">
      <c r="K516" s="83"/>
      <c r="P516" s="83"/>
    </row>
    <row r="517">
      <c r="K517" s="83"/>
      <c r="P517" s="83"/>
    </row>
    <row r="518">
      <c r="K518" s="83"/>
      <c r="P518" s="83"/>
    </row>
    <row r="519">
      <c r="K519" s="83"/>
      <c r="P519" s="83"/>
    </row>
    <row r="520">
      <c r="K520" s="83"/>
      <c r="P520" s="83"/>
    </row>
    <row r="521">
      <c r="K521" s="83"/>
      <c r="P521" s="83"/>
    </row>
    <row r="522">
      <c r="K522" s="83"/>
      <c r="P522" s="83"/>
    </row>
    <row r="523">
      <c r="K523" s="83"/>
      <c r="P523" s="83"/>
    </row>
    <row r="524">
      <c r="K524" s="83"/>
      <c r="P524" s="83"/>
    </row>
    <row r="525">
      <c r="K525" s="83"/>
      <c r="P525" s="83"/>
    </row>
    <row r="526">
      <c r="K526" s="83"/>
      <c r="P526" s="83"/>
    </row>
    <row r="527">
      <c r="K527" s="83"/>
      <c r="P527" s="83"/>
    </row>
    <row r="528">
      <c r="K528" s="83"/>
      <c r="P528" s="83"/>
    </row>
    <row r="529">
      <c r="K529" s="83"/>
      <c r="P529" s="83"/>
    </row>
    <row r="530">
      <c r="K530" s="83"/>
      <c r="P530" s="83"/>
    </row>
    <row r="531">
      <c r="K531" s="83"/>
      <c r="P531" s="83"/>
    </row>
    <row r="532">
      <c r="K532" s="83"/>
      <c r="P532" s="83"/>
    </row>
    <row r="533">
      <c r="K533" s="83"/>
      <c r="P533" s="83"/>
    </row>
    <row r="534">
      <c r="K534" s="83"/>
      <c r="P534" s="83"/>
    </row>
    <row r="535">
      <c r="K535" s="83"/>
      <c r="P535" s="83"/>
    </row>
    <row r="536">
      <c r="K536" s="83"/>
      <c r="P536" s="83"/>
    </row>
    <row r="537">
      <c r="K537" s="83"/>
      <c r="P537" s="83"/>
    </row>
    <row r="538">
      <c r="K538" s="83"/>
      <c r="P538" s="83"/>
    </row>
    <row r="539">
      <c r="K539" s="83"/>
      <c r="P539" s="83"/>
    </row>
    <row r="540">
      <c r="K540" s="83"/>
      <c r="P540" s="83"/>
    </row>
    <row r="541">
      <c r="K541" s="83"/>
      <c r="P541" s="83"/>
    </row>
    <row r="542">
      <c r="K542" s="83"/>
      <c r="P542" s="83"/>
    </row>
    <row r="543">
      <c r="K543" s="83"/>
      <c r="P543" s="83"/>
    </row>
    <row r="544">
      <c r="K544" s="83"/>
      <c r="P544" s="83"/>
    </row>
    <row r="545">
      <c r="K545" s="83"/>
      <c r="P545" s="83"/>
    </row>
    <row r="546">
      <c r="K546" s="83"/>
      <c r="P546" s="83"/>
    </row>
    <row r="547">
      <c r="K547" s="83"/>
      <c r="P547" s="83"/>
    </row>
    <row r="548">
      <c r="K548" s="83"/>
      <c r="P548" s="83"/>
    </row>
    <row r="549">
      <c r="K549" s="83"/>
      <c r="P549" s="83"/>
    </row>
    <row r="550">
      <c r="K550" s="83"/>
      <c r="P550" s="83"/>
    </row>
    <row r="551">
      <c r="K551" s="83"/>
      <c r="P551" s="83"/>
    </row>
    <row r="552">
      <c r="K552" s="83"/>
      <c r="P552" s="83"/>
    </row>
    <row r="553">
      <c r="K553" s="83"/>
      <c r="P553" s="83"/>
    </row>
    <row r="554">
      <c r="K554" s="83"/>
      <c r="P554" s="83"/>
    </row>
    <row r="555">
      <c r="K555" s="83"/>
      <c r="P555" s="83"/>
    </row>
    <row r="556">
      <c r="K556" s="83"/>
      <c r="P556" s="83"/>
    </row>
    <row r="557">
      <c r="K557" s="83"/>
      <c r="P557" s="83"/>
    </row>
    <row r="558">
      <c r="K558" s="83"/>
      <c r="P558" s="83"/>
    </row>
    <row r="559">
      <c r="K559" s="83"/>
      <c r="P559" s="83"/>
    </row>
    <row r="560">
      <c r="K560" s="83"/>
      <c r="P560" s="83"/>
    </row>
    <row r="561">
      <c r="K561" s="83"/>
      <c r="P561" s="83"/>
    </row>
    <row r="562">
      <c r="K562" s="83"/>
      <c r="P562" s="83"/>
    </row>
    <row r="563">
      <c r="K563" s="83"/>
      <c r="P563" s="83"/>
    </row>
    <row r="564">
      <c r="K564" s="83"/>
      <c r="P564" s="83"/>
    </row>
    <row r="565">
      <c r="K565" s="83"/>
      <c r="P565" s="83"/>
    </row>
    <row r="566">
      <c r="K566" s="83"/>
      <c r="P566" s="83"/>
    </row>
    <row r="567">
      <c r="K567" s="83"/>
      <c r="P567" s="83"/>
    </row>
    <row r="568">
      <c r="K568" s="83"/>
      <c r="P568" s="83"/>
    </row>
    <row r="569">
      <c r="K569" s="83"/>
      <c r="P569" s="83"/>
    </row>
    <row r="570">
      <c r="K570" s="83"/>
      <c r="P570" s="83"/>
    </row>
    <row r="571">
      <c r="K571" s="83"/>
      <c r="P571" s="83"/>
    </row>
    <row r="572">
      <c r="K572" s="83"/>
      <c r="P572" s="83"/>
    </row>
    <row r="573">
      <c r="K573" s="83"/>
      <c r="P573" s="83"/>
    </row>
    <row r="574">
      <c r="K574" s="83"/>
      <c r="P574" s="83"/>
    </row>
    <row r="575">
      <c r="K575" s="83"/>
      <c r="P575" s="83"/>
    </row>
    <row r="576">
      <c r="K576" s="83"/>
      <c r="P576" s="83"/>
    </row>
    <row r="577">
      <c r="K577" s="83"/>
      <c r="P577" s="83"/>
    </row>
    <row r="578">
      <c r="K578" s="83"/>
      <c r="P578" s="83"/>
    </row>
    <row r="579">
      <c r="K579" s="83"/>
      <c r="P579" s="83"/>
    </row>
    <row r="580">
      <c r="K580" s="83"/>
      <c r="P580" s="83"/>
    </row>
    <row r="581">
      <c r="K581" s="83"/>
      <c r="P581" s="83"/>
    </row>
    <row r="582">
      <c r="K582" s="83"/>
      <c r="P582" s="83"/>
    </row>
    <row r="583">
      <c r="K583" s="83"/>
      <c r="P583" s="83"/>
    </row>
    <row r="584">
      <c r="K584" s="83"/>
      <c r="P584" s="83"/>
    </row>
    <row r="585">
      <c r="K585" s="83"/>
      <c r="P585" s="83"/>
    </row>
    <row r="586">
      <c r="K586" s="83"/>
      <c r="P586" s="83"/>
    </row>
    <row r="587">
      <c r="K587" s="83"/>
      <c r="P587" s="83"/>
    </row>
    <row r="588">
      <c r="K588" s="83"/>
      <c r="P588" s="83"/>
    </row>
    <row r="589">
      <c r="K589" s="83"/>
      <c r="P589" s="83"/>
    </row>
    <row r="590">
      <c r="K590" s="83"/>
      <c r="P590" s="83"/>
    </row>
    <row r="591">
      <c r="K591" s="83"/>
      <c r="P591" s="83"/>
    </row>
    <row r="592">
      <c r="K592" s="83"/>
      <c r="P592" s="83"/>
    </row>
    <row r="593">
      <c r="K593" s="83"/>
      <c r="P593" s="83"/>
    </row>
    <row r="594">
      <c r="K594" s="83"/>
      <c r="P594" s="83"/>
    </row>
    <row r="595">
      <c r="K595" s="83"/>
      <c r="P595" s="83"/>
    </row>
    <row r="596">
      <c r="K596" s="83"/>
      <c r="P596" s="83"/>
    </row>
    <row r="597">
      <c r="K597" s="83"/>
      <c r="P597" s="83"/>
    </row>
    <row r="598">
      <c r="K598" s="83"/>
      <c r="P598" s="83"/>
    </row>
    <row r="599">
      <c r="K599" s="83"/>
      <c r="P599" s="83"/>
    </row>
    <row r="600">
      <c r="K600" s="83"/>
      <c r="P600" s="83"/>
    </row>
    <row r="601">
      <c r="K601" s="83"/>
      <c r="P601" s="83"/>
    </row>
    <row r="602">
      <c r="K602" s="83"/>
      <c r="P602" s="83"/>
    </row>
    <row r="603">
      <c r="K603" s="83"/>
      <c r="P603" s="83"/>
    </row>
    <row r="604">
      <c r="K604" s="83"/>
      <c r="P604" s="83"/>
    </row>
    <row r="605">
      <c r="K605" s="83"/>
      <c r="P605" s="83"/>
    </row>
    <row r="606">
      <c r="K606" s="83"/>
      <c r="P606" s="83"/>
    </row>
    <row r="607">
      <c r="K607" s="83"/>
      <c r="P607" s="83"/>
    </row>
    <row r="608">
      <c r="K608" s="83"/>
      <c r="P608" s="83"/>
    </row>
    <row r="609">
      <c r="K609" s="83"/>
      <c r="P609" s="83"/>
    </row>
    <row r="610">
      <c r="K610" s="83"/>
      <c r="P610" s="83"/>
    </row>
    <row r="611">
      <c r="K611" s="83"/>
      <c r="P611" s="83"/>
    </row>
    <row r="612">
      <c r="K612" s="83"/>
      <c r="P612" s="83"/>
    </row>
    <row r="613">
      <c r="K613" s="83"/>
      <c r="P613" s="83"/>
    </row>
    <row r="614">
      <c r="K614" s="83"/>
      <c r="P614" s="83"/>
    </row>
    <row r="615">
      <c r="K615" s="83"/>
      <c r="P615" s="83"/>
    </row>
    <row r="616">
      <c r="K616" s="83"/>
      <c r="P616" s="83"/>
    </row>
    <row r="617">
      <c r="K617" s="83"/>
      <c r="P617" s="83"/>
    </row>
    <row r="618">
      <c r="K618" s="83"/>
      <c r="P618" s="83"/>
    </row>
    <row r="619">
      <c r="K619" s="83"/>
      <c r="P619" s="83"/>
    </row>
    <row r="620">
      <c r="K620" s="83"/>
      <c r="P620" s="83"/>
    </row>
    <row r="621">
      <c r="K621" s="83"/>
      <c r="P621" s="83"/>
    </row>
    <row r="622">
      <c r="K622" s="83"/>
      <c r="P622" s="83"/>
    </row>
    <row r="623">
      <c r="K623" s="83"/>
      <c r="P623" s="83"/>
    </row>
    <row r="624">
      <c r="K624" s="83"/>
      <c r="P624" s="83"/>
    </row>
    <row r="625">
      <c r="K625" s="83"/>
      <c r="P625" s="83"/>
    </row>
    <row r="626">
      <c r="K626" s="83"/>
      <c r="P626" s="83"/>
    </row>
    <row r="627">
      <c r="K627" s="83"/>
      <c r="P627" s="83"/>
    </row>
    <row r="628">
      <c r="K628" s="83"/>
      <c r="P628" s="83"/>
    </row>
    <row r="629">
      <c r="K629" s="83"/>
      <c r="P629" s="83"/>
    </row>
    <row r="630">
      <c r="K630" s="83"/>
      <c r="P630" s="83"/>
    </row>
    <row r="631">
      <c r="K631" s="83"/>
      <c r="P631" s="83"/>
    </row>
    <row r="632">
      <c r="K632" s="83"/>
      <c r="P632" s="83"/>
    </row>
    <row r="633">
      <c r="K633" s="83"/>
      <c r="P633" s="83"/>
    </row>
    <row r="634">
      <c r="K634" s="83"/>
      <c r="P634" s="83"/>
    </row>
    <row r="635">
      <c r="K635" s="83"/>
      <c r="P635" s="83"/>
    </row>
    <row r="636">
      <c r="K636" s="83"/>
      <c r="P636" s="83"/>
    </row>
    <row r="637">
      <c r="K637" s="83"/>
      <c r="P637" s="83"/>
    </row>
    <row r="638">
      <c r="K638" s="83"/>
      <c r="P638" s="83"/>
    </row>
    <row r="639">
      <c r="K639" s="83"/>
      <c r="P639" s="83"/>
    </row>
    <row r="640">
      <c r="K640" s="83"/>
      <c r="P640" s="83"/>
    </row>
    <row r="641">
      <c r="K641" s="83"/>
      <c r="P641" s="83"/>
    </row>
    <row r="642">
      <c r="K642" s="83"/>
      <c r="P642" s="83"/>
    </row>
    <row r="643">
      <c r="K643" s="83"/>
      <c r="P643" s="83"/>
    </row>
    <row r="644">
      <c r="K644" s="83"/>
      <c r="P644" s="83"/>
    </row>
    <row r="645">
      <c r="K645" s="83"/>
      <c r="P645" s="83"/>
    </row>
    <row r="646">
      <c r="K646" s="83"/>
      <c r="P646" s="83"/>
    </row>
    <row r="647">
      <c r="K647" s="83"/>
      <c r="P647" s="83"/>
    </row>
    <row r="648">
      <c r="K648" s="83"/>
      <c r="P648" s="83"/>
    </row>
    <row r="649">
      <c r="K649" s="83"/>
      <c r="P649" s="83"/>
    </row>
    <row r="650">
      <c r="K650" s="83"/>
      <c r="P650" s="83"/>
    </row>
    <row r="651">
      <c r="K651" s="83"/>
      <c r="P651" s="83"/>
    </row>
    <row r="652">
      <c r="K652" s="83"/>
      <c r="P652" s="83"/>
    </row>
    <row r="653">
      <c r="K653" s="83"/>
      <c r="P653" s="83"/>
    </row>
    <row r="654">
      <c r="K654" s="83"/>
      <c r="P654" s="83"/>
    </row>
    <row r="655">
      <c r="K655" s="83"/>
      <c r="P655" s="83"/>
    </row>
    <row r="656">
      <c r="K656" s="83"/>
      <c r="P656" s="83"/>
    </row>
    <row r="657">
      <c r="K657" s="83"/>
      <c r="P657" s="83"/>
    </row>
    <row r="658">
      <c r="K658" s="83"/>
      <c r="P658" s="83"/>
    </row>
    <row r="659">
      <c r="K659" s="83"/>
      <c r="P659" s="83"/>
    </row>
    <row r="660">
      <c r="K660" s="83"/>
      <c r="P660" s="83"/>
    </row>
    <row r="661">
      <c r="K661" s="83"/>
      <c r="P661" s="83"/>
    </row>
    <row r="662">
      <c r="K662" s="83"/>
      <c r="P662" s="83"/>
    </row>
    <row r="663">
      <c r="K663" s="83"/>
      <c r="P663" s="83"/>
    </row>
    <row r="664">
      <c r="K664" s="83"/>
      <c r="P664" s="83"/>
    </row>
    <row r="665">
      <c r="K665" s="83"/>
      <c r="P665" s="83"/>
    </row>
    <row r="666">
      <c r="K666" s="83"/>
      <c r="P666" s="83"/>
    </row>
    <row r="667">
      <c r="K667" s="83"/>
      <c r="P667" s="83"/>
    </row>
    <row r="668">
      <c r="K668" s="83"/>
      <c r="P668" s="83"/>
    </row>
    <row r="669">
      <c r="K669" s="83"/>
      <c r="P669" s="83"/>
    </row>
    <row r="670">
      <c r="K670" s="83"/>
      <c r="P670" s="83"/>
    </row>
    <row r="671">
      <c r="K671" s="83"/>
      <c r="P671" s="83"/>
    </row>
    <row r="672">
      <c r="K672" s="83"/>
      <c r="P672" s="83"/>
    </row>
    <row r="673">
      <c r="K673" s="83"/>
      <c r="P673" s="83"/>
    </row>
    <row r="674">
      <c r="K674" s="83"/>
      <c r="P674" s="83"/>
    </row>
    <row r="675">
      <c r="K675" s="83"/>
      <c r="P675" s="83"/>
    </row>
    <row r="676">
      <c r="K676" s="83"/>
      <c r="P676" s="83"/>
    </row>
    <row r="677">
      <c r="K677" s="83"/>
      <c r="P677" s="83"/>
    </row>
    <row r="678">
      <c r="K678" s="83"/>
      <c r="P678" s="83"/>
    </row>
    <row r="679">
      <c r="K679" s="83"/>
      <c r="P679" s="83"/>
    </row>
    <row r="680">
      <c r="K680" s="83"/>
      <c r="P680" s="83"/>
    </row>
    <row r="681">
      <c r="K681" s="83"/>
      <c r="P681" s="83"/>
    </row>
    <row r="682">
      <c r="K682" s="83"/>
      <c r="P682" s="83"/>
    </row>
    <row r="683">
      <c r="K683" s="83"/>
      <c r="P683" s="83"/>
    </row>
    <row r="684">
      <c r="K684" s="83"/>
      <c r="P684" s="83"/>
    </row>
    <row r="685">
      <c r="K685" s="83"/>
      <c r="P685" s="83"/>
    </row>
    <row r="686">
      <c r="K686" s="83"/>
      <c r="P686" s="83"/>
    </row>
    <row r="687">
      <c r="K687" s="83"/>
      <c r="P687" s="83"/>
    </row>
    <row r="688">
      <c r="K688" s="83"/>
      <c r="P688" s="83"/>
    </row>
    <row r="689">
      <c r="K689" s="83"/>
      <c r="P689" s="83"/>
    </row>
    <row r="690">
      <c r="K690" s="83"/>
      <c r="P690" s="83"/>
    </row>
    <row r="691">
      <c r="K691" s="83"/>
      <c r="P691" s="83"/>
    </row>
    <row r="692">
      <c r="K692" s="83"/>
      <c r="P692" s="83"/>
    </row>
    <row r="693">
      <c r="K693" s="83"/>
      <c r="P693" s="83"/>
    </row>
    <row r="694">
      <c r="K694" s="83"/>
      <c r="P694" s="83"/>
    </row>
    <row r="695">
      <c r="K695" s="83"/>
      <c r="P695" s="83"/>
    </row>
    <row r="696">
      <c r="K696" s="83"/>
      <c r="P696" s="83"/>
    </row>
    <row r="697">
      <c r="K697" s="83"/>
      <c r="P697" s="83"/>
    </row>
    <row r="698">
      <c r="K698" s="83"/>
      <c r="P698" s="83"/>
    </row>
    <row r="699">
      <c r="K699" s="83"/>
      <c r="P699" s="83"/>
    </row>
    <row r="700">
      <c r="K700" s="83"/>
      <c r="P700" s="83"/>
    </row>
    <row r="701">
      <c r="K701" s="83"/>
      <c r="P701" s="83"/>
    </row>
    <row r="702">
      <c r="K702" s="83"/>
      <c r="P702" s="83"/>
    </row>
    <row r="703">
      <c r="K703" s="83"/>
      <c r="P703" s="83"/>
    </row>
    <row r="704">
      <c r="K704" s="83"/>
      <c r="P704" s="83"/>
    </row>
    <row r="705">
      <c r="K705" s="83"/>
      <c r="P705" s="83"/>
    </row>
    <row r="706">
      <c r="K706" s="83"/>
      <c r="P706" s="83"/>
    </row>
    <row r="707">
      <c r="K707" s="83"/>
      <c r="P707" s="83"/>
    </row>
    <row r="708">
      <c r="K708" s="83"/>
      <c r="P708" s="83"/>
    </row>
    <row r="709">
      <c r="K709" s="83"/>
      <c r="P709" s="83"/>
    </row>
    <row r="710">
      <c r="K710" s="83"/>
      <c r="P710" s="83"/>
    </row>
    <row r="711">
      <c r="K711" s="83"/>
      <c r="P711" s="83"/>
    </row>
    <row r="712">
      <c r="K712" s="83"/>
      <c r="P712" s="83"/>
    </row>
    <row r="713">
      <c r="K713" s="83"/>
      <c r="P713" s="83"/>
    </row>
    <row r="714">
      <c r="K714" s="83"/>
      <c r="P714" s="83"/>
    </row>
    <row r="715">
      <c r="K715" s="83"/>
      <c r="P715" s="83"/>
    </row>
    <row r="716">
      <c r="K716" s="83"/>
      <c r="P716" s="83"/>
    </row>
    <row r="717">
      <c r="K717" s="83"/>
      <c r="P717" s="83"/>
    </row>
    <row r="718">
      <c r="K718" s="83"/>
      <c r="P718" s="83"/>
    </row>
    <row r="719">
      <c r="K719" s="83"/>
      <c r="P719" s="83"/>
    </row>
    <row r="720">
      <c r="K720" s="83"/>
      <c r="P720" s="83"/>
    </row>
    <row r="721">
      <c r="K721" s="83"/>
      <c r="P721" s="83"/>
    </row>
    <row r="722">
      <c r="K722" s="83"/>
      <c r="P722" s="83"/>
    </row>
    <row r="723">
      <c r="K723" s="83"/>
      <c r="P723" s="83"/>
    </row>
    <row r="724">
      <c r="K724" s="83"/>
      <c r="P724" s="83"/>
    </row>
    <row r="725">
      <c r="K725" s="83"/>
      <c r="P725" s="83"/>
    </row>
    <row r="726">
      <c r="K726" s="83"/>
      <c r="P726" s="83"/>
    </row>
    <row r="727">
      <c r="K727" s="83"/>
      <c r="P727" s="83"/>
    </row>
    <row r="728">
      <c r="K728" s="83"/>
      <c r="P728" s="83"/>
    </row>
    <row r="729">
      <c r="K729" s="83"/>
      <c r="P729" s="83"/>
    </row>
    <row r="730">
      <c r="K730" s="83"/>
      <c r="P730" s="83"/>
    </row>
    <row r="731">
      <c r="K731" s="83"/>
      <c r="P731" s="83"/>
    </row>
    <row r="732">
      <c r="K732" s="83"/>
      <c r="P732" s="83"/>
    </row>
    <row r="733">
      <c r="K733" s="83"/>
      <c r="P733" s="83"/>
    </row>
    <row r="734">
      <c r="K734" s="83"/>
      <c r="P734" s="83"/>
    </row>
    <row r="735">
      <c r="K735" s="83"/>
      <c r="P735" s="83"/>
    </row>
    <row r="736">
      <c r="K736" s="83"/>
      <c r="P736" s="83"/>
    </row>
    <row r="737">
      <c r="K737" s="83"/>
      <c r="P737" s="83"/>
    </row>
    <row r="738">
      <c r="K738" s="83"/>
      <c r="P738" s="83"/>
    </row>
    <row r="739">
      <c r="K739" s="83"/>
      <c r="P739" s="83"/>
    </row>
    <row r="740">
      <c r="K740" s="83"/>
      <c r="P740" s="83"/>
    </row>
    <row r="741">
      <c r="K741" s="83"/>
      <c r="P741" s="83"/>
    </row>
    <row r="742">
      <c r="K742" s="83"/>
      <c r="P742" s="83"/>
    </row>
    <row r="743">
      <c r="K743" s="83"/>
      <c r="P743" s="83"/>
    </row>
    <row r="744">
      <c r="K744" s="83"/>
      <c r="P744" s="83"/>
    </row>
    <row r="745">
      <c r="K745" s="83"/>
      <c r="P745" s="83"/>
    </row>
    <row r="746">
      <c r="K746" s="83"/>
      <c r="P746" s="83"/>
    </row>
    <row r="747">
      <c r="K747" s="83"/>
      <c r="P747" s="83"/>
    </row>
    <row r="748">
      <c r="K748" s="83"/>
      <c r="P748" s="83"/>
    </row>
    <row r="749">
      <c r="K749" s="83"/>
      <c r="P749" s="83"/>
    </row>
    <row r="750">
      <c r="K750" s="83"/>
      <c r="P750" s="83"/>
    </row>
    <row r="751">
      <c r="K751" s="83"/>
      <c r="P751" s="83"/>
    </row>
    <row r="752">
      <c r="K752" s="83"/>
      <c r="P752" s="83"/>
    </row>
    <row r="753">
      <c r="K753" s="83"/>
      <c r="P753" s="83"/>
    </row>
    <row r="754">
      <c r="K754" s="83"/>
      <c r="P754" s="83"/>
    </row>
    <row r="755">
      <c r="K755" s="83"/>
      <c r="P755" s="83"/>
    </row>
    <row r="756">
      <c r="K756" s="83"/>
      <c r="P756" s="83"/>
    </row>
    <row r="757">
      <c r="K757" s="83"/>
      <c r="P757" s="83"/>
    </row>
    <row r="758">
      <c r="K758" s="83"/>
      <c r="P758" s="83"/>
    </row>
    <row r="759">
      <c r="K759" s="83"/>
      <c r="P759" s="83"/>
    </row>
    <row r="760">
      <c r="K760" s="83"/>
      <c r="P760" s="83"/>
    </row>
    <row r="761">
      <c r="K761" s="83"/>
      <c r="P761" s="83"/>
    </row>
    <row r="762">
      <c r="K762" s="83"/>
      <c r="P762" s="83"/>
    </row>
    <row r="763">
      <c r="K763" s="83"/>
      <c r="P763" s="83"/>
    </row>
    <row r="764">
      <c r="K764" s="83"/>
      <c r="P764" s="83"/>
    </row>
    <row r="765">
      <c r="K765" s="83"/>
      <c r="P765" s="83"/>
    </row>
    <row r="766">
      <c r="K766" s="83"/>
      <c r="P766" s="83"/>
    </row>
    <row r="767">
      <c r="K767" s="83"/>
      <c r="P767" s="83"/>
    </row>
    <row r="768">
      <c r="K768" s="83"/>
      <c r="P768" s="83"/>
    </row>
    <row r="769">
      <c r="K769" s="83"/>
      <c r="P769" s="83"/>
    </row>
    <row r="770">
      <c r="K770" s="83"/>
      <c r="P770" s="83"/>
    </row>
    <row r="771">
      <c r="K771" s="83"/>
      <c r="P771" s="83"/>
    </row>
    <row r="772">
      <c r="K772" s="83"/>
      <c r="P772" s="83"/>
    </row>
    <row r="773">
      <c r="K773" s="83"/>
      <c r="P773" s="83"/>
    </row>
    <row r="774">
      <c r="K774" s="83"/>
      <c r="P774" s="83"/>
    </row>
    <row r="775">
      <c r="K775" s="83"/>
      <c r="P775" s="83"/>
    </row>
    <row r="776">
      <c r="K776" s="83"/>
      <c r="P776" s="83"/>
    </row>
    <row r="777">
      <c r="K777" s="83"/>
      <c r="P777" s="83"/>
    </row>
    <row r="778">
      <c r="K778" s="83"/>
      <c r="P778" s="83"/>
    </row>
    <row r="779">
      <c r="K779" s="83"/>
      <c r="P779" s="83"/>
    </row>
    <row r="780">
      <c r="K780" s="83"/>
      <c r="P780" s="83"/>
    </row>
    <row r="781">
      <c r="K781" s="83"/>
      <c r="P781" s="83"/>
    </row>
    <row r="782">
      <c r="K782" s="83"/>
      <c r="P782" s="83"/>
    </row>
    <row r="783">
      <c r="K783" s="83"/>
      <c r="P783" s="83"/>
    </row>
    <row r="784">
      <c r="K784" s="83"/>
      <c r="P784" s="83"/>
    </row>
    <row r="785">
      <c r="K785" s="83"/>
      <c r="P785" s="83"/>
    </row>
    <row r="786">
      <c r="K786" s="83"/>
      <c r="P786" s="83"/>
    </row>
    <row r="787">
      <c r="K787" s="83"/>
      <c r="P787" s="83"/>
    </row>
    <row r="788">
      <c r="K788" s="83"/>
      <c r="P788" s="83"/>
    </row>
    <row r="789">
      <c r="K789" s="83"/>
      <c r="P789" s="83"/>
    </row>
    <row r="790">
      <c r="K790" s="83"/>
      <c r="P790" s="83"/>
    </row>
    <row r="791">
      <c r="K791" s="83"/>
      <c r="P791" s="83"/>
    </row>
    <row r="792">
      <c r="K792" s="83"/>
      <c r="P792" s="83"/>
    </row>
    <row r="793">
      <c r="K793" s="83"/>
      <c r="P793" s="83"/>
    </row>
    <row r="794">
      <c r="K794" s="83"/>
      <c r="P794" s="83"/>
    </row>
    <row r="795">
      <c r="K795" s="83"/>
      <c r="P795" s="83"/>
    </row>
    <row r="796">
      <c r="K796" s="83"/>
      <c r="P796" s="83"/>
    </row>
    <row r="797">
      <c r="K797" s="83"/>
      <c r="P797" s="83"/>
    </row>
    <row r="798">
      <c r="K798" s="83"/>
      <c r="P798" s="83"/>
    </row>
    <row r="799">
      <c r="K799" s="83"/>
      <c r="P799" s="83"/>
    </row>
    <row r="800">
      <c r="K800" s="83"/>
      <c r="P800" s="83"/>
    </row>
    <row r="801">
      <c r="K801" s="83"/>
      <c r="P801" s="83"/>
    </row>
    <row r="802">
      <c r="K802" s="83"/>
      <c r="P802" s="83"/>
    </row>
    <row r="803">
      <c r="K803" s="83"/>
      <c r="P803" s="83"/>
    </row>
    <row r="804">
      <c r="K804" s="83"/>
      <c r="P804" s="83"/>
    </row>
    <row r="805">
      <c r="K805" s="83"/>
      <c r="P805" s="83"/>
    </row>
    <row r="806">
      <c r="K806" s="83"/>
      <c r="P806" s="83"/>
    </row>
    <row r="807">
      <c r="K807" s="83"/>
      <c r="P807" s="83"/>
    </row>
    <row r="808">
      <c r="K808" s="83"/>
      <c r="P808" s="83"/>
    </row>
    <row r="809">
      <c r="K809" s="83"/>
      <c r="P809" s="83"/>
    </row>
    <row r="810">
      <c r="K810" s="83"/>
      <c r="P810" s="83"/>
    </row>
    <row r="811">
      <c r="K811" s="83"/>
      <c r="P811" s="83"/>
    </row>
    <row r="812">
      <c r="K812" s="83"/>
      <c r="P812" s="83"/>
    </row>
    <row r="813">
      <c r="K813" s="83"/>
      <c r="P813" s="83"/>
    </row>
    <row r="814">
      <c r="K814" s="83"/>
      <c r="P814" s="83"/>
    </row>
    <row r="815">
      <c r="K815" s="83"/>
      <c r="P815" s="83"/>
    </row>
    <row r="816">
      <c r="K816" s="83"/>
      <c r="P816" s="83"/>
    </row>
    <row r="817">
      <c r="K817" s="83"/>
      <c r="P817" s="83"/>
    </row>
    <row r="818">
      <c r="K818" s="83"/>
      <c r="P818" s="83"/>
    </row>
    <row r="819">
      <c r="K819" s="83"/>
      <c r="P819" s="83"/>
    </row>
    <row r="820">
      <c r="K820" s="83"/>
      <c r="P820" s="83"/>
    </row>
    <row r="821">
      <c r="K821" s="83"/>
      <c r="P821" s="83"/>
    </row>
    <row r="822">
      <c r="K822" s="83"/>
      <c r="P822" s="83"/>
    </row>
    <row r="823">
      <c r="K823" s="83"/>
      <c r="P823" s="83"/>
    </row>
    <row r="824">
      <c r="K824" s="83"/>
      <c r="P824" s="83"/>
    </row>
    <row r="825">
      <c r="K825" s="83"/>
      <c r="P825" s="83"/>
    </row>
    <row r="826">
      <c r="K826" s="83"/>
      <c r="P826" s="83"/>
    </row>
    <row r="827">
      <c r="K827" s="83"/>
      <c r="P827" s="83"/>
    </row>
    <row r="828">
      <c r="K828" s="83"/>
      <c r="P828" s="83"/>
    </row>
    <row r="829">
      <c r="K829" s="83"/>
      <c r="P829" s="83"/>
    </row>
    <row r="830">
      <c r="K830" s="83"/>
      <c r="P830" s="83"/>
    </row>
    <row r="831">
      <c r="K831" s="83"/>
      <c r="P831" s="83"/>
    </row>
    <row r="832">
      <c r="K832" s="83"/>
      <c r="P832" s="83"/>
    </row>
    <row r="833">
      <c r="K833" s="83"/>
      <c r="P833" s="83"/>
    </row>
    <row r="834">
      <c r="K834" s="83"/>
      <c r="P834" s="83"/>
    </row>
    <row r="835">
      <c r="K835" s="83"/>
      <c r="P835" s="83"/>
    </row>
    <row r="836">
      <c r="K836" s="83"/>
      <c r="P836" s="83"/>
    </row>
    <row r="837">
      <c r="K837" s="83"/>
      <c r="P837" s="83"/>
    </row>
    <row r="838">
      <c r="K838" s="83"/>
      <c r="P838" s="83"/>
    </row>
    <row r="839">
      <c r="K839" s="83"/>
      <c r="P839" s="83"/>
    </row>
    <row r="840">
      <c r="K840" s="83"/>
      <c r="P840" s="83"/>
    </row>
    <row r="841">
      <c r="K841" s="83"/>
      <c r="P841" s="83"/>
    </row>
    <row r="842">
      <c r="K842" s="83"/>
      <c r="P842" s="83"/>
    </row>
    <row r="843">
      <c r="K843" s="83"/>
      <c r="P843" s="83"/>
    </row>
    <row r="844">
      <c r="K844" s="83"/>
      <c r="P844" s="83"/>
    </row>
    <row r="845">
      <c r="K845" s="83"/>
      <c r="P845" s="83"/>
    </row>
    <row r="846">
      <c r="K846" s="83"/>
      <c r="P846" s="83"/>
    </row>
    <row r="847">
      <c r="K847" s="83"/>
      <c r="P847" s="83"/>
    </row>
    <row r="848">
      <c r="K848" s="83"/>
      <c r="P848" s="83"/>
    </row>
    <row r="849">
      <c r="K849" s="83"/>
      <c r="P849" s="83"/>
    </row>
    <row r="850">
      <c r="K850" s="83"/>
      <c r="P850" s="83"/>
    </row>
    <row r="851">
      <c r="K851" s="83"/>
      <c r="P851" s="83"/>
    </row>
    <row r="852">
      <c r="K852" s="83"/>
      <c r="P852" s="83"/>
    </row>
    <row r="853">
      <c r="K853" s="83"/>
      <c r="P853" s="83"/>
    </row>
    <row r="854">
      <c r="K854" s="83"/>
      <c r="P854" s="83"/>
    </row>
    <row r="855">
      <c r="K855" s="83"/>
      <c r="P855" s="83"/>
    </row>
    <row r="856">
      <c r="K856" s="83"/>
      <c r="P856" s="83"/>
    </row>
    <row r="857">
      <c r="K857" s="83"/>
      <c r="P857" s="83"/>
    </row>
    <row r="858">
      <c r="K858" s="83"/>
      <c r="P858" s="83"/>
    </row>
    <row r="859">
      <c r="K859" s="83"/>
      <c r="P859" s="83"/>
    </row>
    <row r="860">
      <c r="K860" s="83"/>
      <c r="P860" s="83"/>
    </row>
    <row r="861">
      <c r="K861" s="83"/>
      <c r="P861" s="83"/>
    </row>
    <row r="862">
      <c r="K862" s="83"/>
      <c r="P862" s="83"/>
    </row>
    <row r="863">
      <c r="K863" s="83"/>
      <c r="P863" s="83"/>
    </row>
    <row r="864">
      <c r="K864" s="83"/>
      <c r="P864" s="83"/>
    </row>
    <row r="865">
      <c r="K865" s="83"/>
      <c r="P865" s="83"/>
    </row>
    <row r="866">
      <c r="K866" s="83"/>
      <c r="P866" s="83"/>
    </row>
    <row r="867">
      <c r="K867" s="83"/>
      <c r="P867" s="83"/>
    </row>
    <row r="868">
      <c r="K868" s="83"/>
      <c r="P868" s="83"/>
    </row>
    <row r="869">
      <c r="K869" s="83"/>
      <c r="P869" s="83"/>
    </row>
    <row r="870">
      <c r="K870" s="83"/>
      <c r="P870" s="83"/>
    </row>
    <row r="871">
      <c r="K871" s="83"/>
      <c r="P871" s="83"/>
    </row>
    <row r="872">
      <c r="K872" s="83"/>
      <c r="P872" s="83"/>
    </row>
    <row r="873">
      <c r="K873" s="83"/>
      <c r="P873" s="83"/>
    </row>
    <row r="874">
      <c r="K874" s="83"/>
      <c r="P874" s="83"/>
    </row>
    <row r="875">
      <c r="K875" s="83"/>
      <c r="P875" s="83"/>
    </row>
    <row r="876">
      <c r="K876" s="83"/>
      <c r="P876" s="83"/>
    </row>
    <row r="877">
      <c r="K877" s="83"/>
      <c r="P877" s="83"/>
    </row>
    <row r="878">
      <c r="K878" s="83"/>
      <c r="P878" s="83"/>
    </row>
    <row r="879">
      <c r="K879" s="83"/>
      <c r="P879" s="83"/>
    </row>
    <row r="880">
      <c r="K880" s="83"/>
      <c r="P880" s="83"/>
    </row>
    <row r="881">
      <c r="K881" s="83"/>
      <c r="P881" s="83"/>
    </row>
    <row r="882">
      <c r="K882" s="83"/>
      <c r="P882" s="83"/>
    </row>
    <row r="883">
      <c r="K883" s="83"/>
      <c r="P883" s="83"/>
    </row>
    <row r="884">
      <c r="K884" s="83"/>
      <c r="P884" s="83"/>
    </row>
    <row r="885">
      <c r="K885" s="83"/>
      <c r="P885" s="83"/>
    </row>
    <row r="886">
      <c r="K886" s="83"/>
      <c r="P886" s="83"/>
    </row>
    <row r="887">
      <c r="K887" s="83"/>
      <c r="P887" s="83"/>
    </row>
    <row r="888">
      <c r="K888" s="83"/>
      <c r="P888" s="83"/>
    </row>
    <row r="889">
      <c r="K889" s="83"/>
      <c r="P889" s="83"/>
    </row>
    <row r="890">
      <c r="K890" s="83"/>
      <c r="P890" s="83"/>
    </row>
    <row r="891">
      <c r="K891" s="83"/>
      <c r="P891" s="83"/>
    </row>
    <row r="892">
      <c r="K892" s="83"/>
      <c r="P892" s="83"/>
    </row>
    <row r="893">
      <c r="K893" s="83"/>
      <c r="P893" s="83"/>
    </row>
    <row r="894">
      <c r="K894" s="83"/>
      <c r="P894" s="83"/>
    </row>
    <row r="895">
      <c r="K895" s="83"/>
      <c r="P895" s="83"/>
    </row>
    <row r="896">
      <c r="K896" s="83"/>
      <c r="P896" s="83"/>
    </row>
    <row r="897">
      <c r="K897" s="83"/>
      <c r="P897" s="83"/>
    </row>
    <row r="898">
      <c r="K898" s="83"/>
      <c r="P898" s="83"/>
    </row>
    <row r="899">
      <c r="K899" s="83"/>
      <c r="P899" s="83"/>
    </row>
    <row r="900">
      <c r="K900" s="83"/>
      <c r="P900" s="83"/>
    </row>
    <row r="901">
      <c r="K901" s="83"/>
      <c r="P901" s="83"/>
    </row>
    <row r="902">
      <c r="K902" s="83"/>
      <c r="P902" s="83"/>
    </row>
    <row r="903">
      <c r="K903" s="83"/>
      <c r="P903" s="83"/>
    </row>
    <row r="904">
      <c r="K904" s="83"/>
      <c r="P904" s="83"/>
    </row>
    <row r="905">
      <c r="K905" s="83"/>
      <c r="P905" s="83"/>
    </row>
    <row r="906">
      <c r="K906" s="83"/>
      <c r="P906" s="83"/>
    </row>
    <row r="907">
      <c r="K907" s="83"/>
      <c r="P907" s="83"/>
    </row>
    <row r="908">
      <c r="K908" s="83"/>
      <c r="P908" s="83"/>
    </row>
    <row r="909">
      <c r="K909" s="83"/>
      <c r="P909" s="83"/>
    </row>
    <row r="910">
      <c r="K910" s="83"/>
      <c r="P910" s="83"/>
    </row>
    <row r="911">
      <c r="K911" s="83"/>
      <c r="P911" s="83"/>
    </row>
    <row r="912">
      <c r="K912" s="83"/>
      <c r="P912" s="83"/>
    </row>
    <row r="913">
      <c r="K913" s="83"/>
      <c r="P913" s="83"/>
    </row>
    <row r="914">
      <c r="K914" s="83"/>
      <c r="P914" s="83"/>
    </row>
    <row r="915">
      <c r="K915" s="83"/>
      <c r="P915" s="83"/>
    </row>
    <row r="916">
      <c r="K916" s="83"/>
      <c r="P916" s="83"/>
    </row>
    <row r="917">
      <c r="K917" s="83"/>
      <c r="P917" s="83"/>
    </row>
    <row r="918">
      <c r="K918" s="83"/>
      <c r="P918" s="83"/>
    </row>
    <row r="919">
      <c r="K919" s="83"/>
      <c r="P919" s="83"/>
    </row>
    <row r="920">
      <c r="K920" s="83"/>
      <c r="P920" s="83"/>
    </row>
    <row r="921">
      <c r="K921" s="83"/>
      <c r="P921" s="83"/>
    </row>
    <row r="922">
      <c r="K922" s="83"/>
      <c r="P922" s="83"/>
    </row>
    <row r="923">
      <c r="K923" s="83"/>
      <c r="P923" s="83"/>
    </row>
    <row r="924">
      <c r="K924" s="83"/>
      <c r="P924" s="83"/>
    </row>
    <row r="925">
      <c r="K925" s="83"/>
      <c r="P925" s="83"/>
    </row>
    <row r="926">
      <c r="K926" s="83"/>
      <c r="P926" s="83"/>
    </row>
    <row r="927">
      <c r="K927" s="83"/>
      <c r="P927" s="83"/>
    </row>
    <row r="928">
      <c r="K928" s="83"/>
      <c r="P928" s="83"/>
    </row>
    <row r="929">
      <c r="K929" s="83"/>
      <c r="P929" s="83"/>
    </row>
    <row r="930">
      <c r="K930" s="83"/>
      <c r="P930" s="83"/>
    </row>
    <row r="931">
      <c r="K931" s="83"/>
      <c r="P931" s="83"/>
    </row>
    <row r="932">
      <c r="K932" s="83"/>
      <c r="P932" s="83"/>
    </row>
    <row r="933">
      <c r="K933" s="83"/>
      <c r="P933" s="83"/>
    </row>
    <row r="934">
      <c r="K934" s="83"/>
      <c r="P934" s="83"/>
    </row>
    <row r="935">
      <c r="K935" s="83"/>
      <c r="P935" s="83"/>
    </row>
    <row r="936">
      <c r="K936" s="83"/>
      <c r="P936" s="83"/>
    </row>
    <row r="937">
      <c r="K937" s="83"/>
      <c r="P937" s="83"/>
    </row>
    <row r="938">
      <c r="K938" s="83"/>
      <c r="P938" s="83"/>
    </row>
    <row r="939">
      <c r="K939" s="83"/>
      <c r="P939" s="83"/>
    </row>
    <row r="940">
      <c r="K940" s="83"/>
      <c r="P940" s="83"/>
    </row>
    <row r="941">
      <c r="K941" s="83"/>
      <c r="P941" s="83"/>
    </row>
    <row r="942">
      <c r="K942" s="83"/>
      <c r="P942" s="83"/>
    </row>
    <row r="943">
      <c r="K943" s="83"/>
      <c r="P943" s="83"/>
    </row>
    <row r="944">
      <c r="K944" s="83"/>
      <c r="P944" s="83"/>
    </row>
    <row r="945">
      <c r="K945" s="83"/>
      <c r="P945" s="83"/>
    </row>
    <row r="946">
      <c r="K946" s="83"/>
      <c r="P946" s="83"/>
    </row>
    <row r="947">
      <c r="K947" s="83"/>
      <c r="P947" s="83"/>
    </row>
    <row r="948">
      <c r="K948" s="83"/>
      <c r="P948" s="83"/>
    </row>
    <row r="949">
      <c r="K949" s="83"/>
      <c r="P949" s="83"/>
    </row>
    <row r="950">
      <c r="K950" s="83"/>
      <c r="P950" s="83"/>
    </row>
    <row r="951">
      <c r="K951" s="83"/>
      <c r="P951" s="83"/>
    </row>
    <row r="952">
      <c r="K952" s="83"/>
      <c r="P952" s="83"/>
    </row>
    <row r="953">
      <c r="K953" s="83"/>
      <c r="P953" s="83"/>
    </row>
    <row r="954">
      <c r="K954" s="83"/>
      <c r="P954" s="83"/>
    </row>
    <row r="955">
      <c r="K955" s="83"/>
      <c r="P955" s="83"/>
    </row>
    <row r="956">
      <c r="K956" s="83"/>
      <c r="P956" s="83"/>
    </row>
    <row r="957">
      <c r="K957" s="83"/>
      <c r="P957" s="83"/>
    </row>
    <row r="958">
      <c r="K958" s="83"/>
      <c r="P958" s="83"/>
    </row>
    <row r="959">
      <c r="K959" s="83"/>
      <c r="P959" s="83"/>
    </row>
    <row r="960">
      <c r="K960" s="83"/>
      <c r="P960" s="83"/>
    </row>
    <row r="961">
      <c r="K961" s="83"/>
      <c r="P961" s="83"/>
    </row>
    <row r="962">
      <c r="K962" s="83"/>
      <c r="P962" s="83"/>
    </row>
    <row r="963">
      <c r="K963" s="83"/>
      <c r="P963" s="83"/>
    </row>
    <row r="964">
      <c r="K964" s="83"/>
      <c r="P964" s="83"/>
    </row>
    <row r="965">
      <c r="K965" s="83"/>
      <c r="P965" s="83"/>
    </row>
    <row r="966">
      <c r="K966" s="83"/>
      <c r="P966" s="83"/>
    </row>
    <row r="967">
      <c r="K967" s="83"/>
      <c r="P967" s="83"/>
    </row>
    <row r="968">
      <c r="K968" s="83"/>
      <c r="P968" s="83"/>
    </row>
    <row r="969">
      <c r="K969" s="83"/>
      <c r="P969" s="83"/>
    </row>
    <row r="970">
      <c r="K970" s="83"/>
      <c r="P970" s="83"/>
    </row>
    <row r="971">
      <c r="K971" s="83"/>
      <c r="P971" s="83"/>
    </row>
    <row r="972">
      <c r="K972" s="83"/>
      <c r="P972" s="83"/>
    </row>
    <row r="973">
      <c r="K973" s="83"/>
      <c r="P973" s="83"/>
    </row>
    <row r="974">
      <c r="K974" s="83"/>
      <c r="P974" s="83"/>
    </row>
    <row r="975">
      <c r="K975" s="83"/>
      <c r="P975" s="83"/>
    </row>
    <row r="976">
      <c r="K976" s="83"/>
      <c r="P976" s="83"/>
    </row>
    <row r="977">
      <c r="K977" s="83"/>
      <c r="P977" s="83"/>
    </row>
    <row r="978">
      <c r="K978" s="83"/>
      <c r="P978" s="83"/>
    </row>
    <row r="979">
      <c r="K979" s="83"/>
      <c r="P979" s="83"/>
    </row>
    <row r="980">
      <c r="K980" s="83"/>
      <c r="P980" s="83"/>
    </row>
    <row r="981">
      <c r="K981" s="83"/>
      <c r="P981" s="83"/>
    </row>
    <row r="982">
      <c r="K982" s="83"/>
      <c r="P982" s="83"/>
    </row>
    <row r="983">
      <c r="K983" s="83"/>
      <c r="P983" s="83"/>
    </row>
    <row r="984">
      <c r="K984" s="83"/>
      <c r="P984" s="83"/>
    </row>
    <row r="985">
      <c r="K985" s="83"/>
      <c r="P985" s="83"/>
    </row>
    <row r="986">
      <c r="K986" s="83"/>
      <c r="P986" s="83"/>
    </row>
    <row r="987">
      <c r="K987" s="83"/>
      <c r="P987" s="83"/>
    </row>
    <row r="988">
      <c r="K988" s="83"/>
      <c r="P988" s="83"/>
    </row>
    <row r="989">
      <c r="K989" s="83"/>
      <c r="P989" s="83"/>
    </row>
    <row r="990">
      <c r="K990" s="83"/>
      <c r="P990" s="83"/>
    </row>
    <row r="991">
      <c r="K991" s="83"/>
      <c r="P991" s="83"/>
    </row>
    <row r="992">
      <c r="K992" s="83"/>
      <c r="P992" s="83"/>
    </row>
  </sheetData>
  <mergeCells count="7">
    <mergeCell ref="G1:P1"/>
    <mergeCell ref="Q1:X1"/>
    <mergeCell ref="G2:P2"/>
    <mergeCell ref="A3:B3"/>
    <mergeCell ref="C3:D3"/>
    <mergeCell ref="E3:J3"/>
    <mergeCell ref="L3:P3"/>
  </mergeCells>
  <conditionalFormatting sqref="I5:I99 J45 J47">
    <cfRule type="cellIs" dxfId="6" priority="1" operator="equal">
      <formula>"x"</formula>
    </cfRule>
  </conditionalFormatting>
  <conditionalFormatting sqref="I5:I56 J45 J47">
    <cfRule type="containsBlanks" dxfId="7" priority="2">
      <formula>LEN(TRIM(I5))=0</formula>
    </cfRule>
  </conditionalFormatting>
  <conditionalFormatting sqref="H5:H56">
    <cfRule type="notContainsBlanks" dxfId="6" priority="3">
      <formula>LEN(TRIM(H5))&gt;0</formula>
    </cfRule>
  </conditionalFormatting>
  <conditionalFormatting sqref="H5:H56">
    <cfRule type="containsBlanks" dxfId="8" priority="4">
      <formula>LEN(TRIM(H5))=0</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63"/>
    <col customWidth="1" min="3" max="3" width="7.25"/>
    <col customWidth="1" min="4" max="5" width="17.75"/>
    <col customWidth="1" min="6" max="6" width="15.38"/>
    <col customWidth="1" min="7" max="7" width="16.63"/>
    <col customWidth="1" min="10" max="13" width="6.38"/>
  </cols>
  <sheetData>
    <row r="1" ht="48.75" customHeight="1">
      <c r="A1" s="117" t="s">
        <v>769</v>
      </c>
      <c r="B1" s="117" t="s">
        <v>770</v>
      </c>
      <c r="C1" s="117" t="s">
        <v>5</v>
      </c>
      <c r="D1" s="118" t="s">
        <v>660</v>
      </c>
      <c r="E1" s="118" t="s">
        <v>661</v>
      </c>
      <c r="F1" s="117" t="s">
        <v>771</v>
      </c>
      <c r="G1" s="117" t="s">
        <v>772</v>
      </c>
    </row>
    <row r="2">
      <c r="A2" s="97" t="s">
        <v>773</v>
      </c>
      <c r="B2" s="116" t="s">
        <v>361</v>
      </c>
      <c r="C2" s="97" t="s">
        <v>691</v>
      </c>
      <c r="D2" s="97" t="s">
        <v>40</v>
      </c>
      <c r="E2" s="97" t="s">
        <v>41</v>
      </c>
      <c r="F2" s="97" t="s">
        <v>689</v>
      </c>
      <c r="G2" s="97" t="s">
        <v>773</v>
      </c>
      <c r="I2" s="119"/>
      <c r="J2" s="120"/>
      <c r="K2" s="120"/>
      <c r="L2" s="121"/>
      <c r="M2" s="122"/>
    </row>
    <row r="3">
      <c r="A3" s="97" t="s">
        <v>773</v>
      </c>
      <c r="B3" s="116" t="s">
        <v>411</v>
      </c>
      <c r="C3" s="97" t="s">
        <v>691</v>
      </c>
      <c r="D3" s="97" t="s">
        <v>409</v>
      </c>
      <c r="E3" s="97" t="s">
        <v>409</v>
      </c>
      <c r="F3" s="97" t="s">
        <v>689</v>
      </c>
      <c r="G3" s="59" t="s">
        <v>773</v>
      </c>
    </row>
    <row r="4">
      <c r="A4" s="97" t="s">
        <v>773</v>
      </c>
      <c r="B4" s="116" t="s">
        <v>342</v>
      </c>
      <c r="C4" s="97" t="s">
        <v>691</v>
      </c>
      <c r="D4" s="97" t="s">
        <v>96</v>
      </c>
      <c r="E4" s="97" t="s">
        <v>106</v>
      </c>
      <c r="F4" s="97" t="s">
        <v>689</v>
      </c>
      <c r="G4" s="97" t="s">
        <v>773</v>
      </c>
      <c r="I4" s="119"/>
      <c r="J4" s="119"/>
      <c r="K4" s="119"/>
      <c r="L4" s="119"/>
      <c r="M4" s="119"/>
    </row>
    <row r="5">
      <c r="A5" s="97" t="s">
        <v>774</v>
      </c>
      <c r="B5" s="116" t="s">
        <v>78</v>
      </c>
      <c r="C5" s="97" t="s">
        <v>684</v>
      </c>
      <c r="D5" s="42" t="s">
        <v>41</v>
      </c>
      <c r="E5" s="97" t="s">
        <v>40</v>
      </c>
      <c r="F5" s="97" t="s">
        <v>689</v>
      </c>
      <c r="G5" s="97" t="s">
        <v>41</v>
      </c>
      <c r="I5" s="123" t="s">
        <v>775</v>
      </c>
      <c r="J5" s="20"/>
      <c r="K5" s="20"/>
      <c r="L5" s="21"/>
      <c r="M5" s="124" t="s">
        <v>776</v>
      </c>
    </row>
    <row r="6">
      <c r="A6" s="97" t="s">
        <v>774</v>
      </c>
      <c r="B6" s="116" t="s">
        <v>605</v>
      </c>
      <c r="C6" s="97" t="s">
        <v>684</v>
      </c>
      <c r="D6" s="42" t="s">
        <v>41</v>
      </c>
      <c r="E6" s="97" t="s">
        <v>40</v>
      </c>
      <c r="F6" s="97" t="s">
        <v>676</v>
      </c>
      <c r="G6" s="97" t="s">
        <v>41</v>
      </c>
      <c r="I6" s="123" t="s">
        <v>777</v>
      </c>
      <c r="J6" s="125" t="s">
        <v>778</v>
      </c>
      <c r="K6" s="126" t="s">
        <v>779</v>
      </c>
      <c r="L6" s="127" t="s">
        <v>780</v>
      </c>
      <c r="M6" s="127" t="s">
        <v>781</v>
      </c>
    </row>
    <row r="7">
      <c r="A7" s="97" t="s">
        <v>782</v>
      </c>
      <c r="B7" s="116" t="s">
        <v>420</v>
      </c>
      <c r="C7" s="97" t="s">
        <v>691</v>
      </c>
      <c r="D7" s="42" t="s">
        <v>106</v>
      </c>
      <c r="E7" s="97" t="s">
        <v>96</v>
      </c>
      <c r="F7" s="97" t="s">
        <v>689</v>
      </c>
      <c r="G7" s="97" t="s">
        <v>106</v>
      </c>
      <c r="I7" s="123" t="s">
        <v>783</v>
      </c>
      <c r="J7" s="128">
        <f>COUNTIFS(F:F,"Experienced", G:G,"Intro Java")</f>
        <v>2</v>
      </c>
      <c r="K7" s="120">
        <f>COUNTIFS(F:F,"Inexperienced", G:G,"Intro Java")</f>
        <v>4</v>
      </c>
      <c r="L7" s="129">
        <f>COUNTIF(G:G,"=Intro Java")</f>
        <v>6</v>
      </c>
      <c r="M7" s="130">
        <v>6.0</v>
      </c>
    </row>
    <row r="8">
      <c r="A8" s="97" t="s">
        <v>784</v>
      </c>
      <c r="B8" s="116" t="s">
        <v>247</v>
      </c>
      <c r="C8" s="97" t="s">
        <v>691</v>
      </c>
      <c r="D8" s="42" t="s">
        <v>106</v>
      </c>
      <c r="E8" s="97" t="s">
        <v>159</v>
      </c>
      <c r="F8" s="97" t="s">
        <v>689</v>
      </c>
      <c r="G8" s="97" t="s">
        <v>106</v>
      </c>
      <c r="I8" s="131" t="s">
        <v>785</v>
      </c>
      <c r="J8" s="120">
        <f>COUNTIFS(F:F,"Experienced", G:G,"Intermediate Java")</f>
        <v>1</v>
      </c>
      <c r="K8" s="120">
        <f>COUNTIFS(F:F,"Inexperienced", G:G,"Intermediate Java")</f>
        <v>1</v>
      </c>
      <c r="L8" s="132">
        <f>COUNTIF(G:G,"=Intermediate Java")</f>
        <v>2</v>
      </c>
      <c r="M8" s="130">
        <v>1.0</v>
      </c>
    </row>
    <row r="9">
      <c r="A9" s="97" t="s">
        <v>782</v>
      </c>
      <c r="B9" s="116" t="s">
        <v>786</v>
      </c>
      <c r="C9" s="97" t="s">
        <v>684</v>
      </c>
      <c r="D9" s="97" t="s">
        <v>41</v>
      </c>
      <c r="E9" s="42" t="s">
        <v>106</v>
      </c>
      <c r="F9" s="97" t="s">
        <v>676</v>
      </c>
      <c r="G9" s="97" t="s">
        <v>106</v>
      </c>
      <c r="I9" s="131" t="s">
        <v>787</v>
      </c>
      <c r="J9" s="120">
        <f>COUNTIFS(F:F,"Experienced", G:G,"Intro Python")</f>
        <v>5</v>
      </c>
      <c r="K9" s="120">
        <f>COUNTIFS(F:F,"Inexperienced", G:G,"Intro Python")</f>
        <v>13</v>
      </c>
      <c r="L9" s="132">
        <f>COUNTIF(G:G,"=Intro Python")</f>
        <v>18</v>
      </c>
      <c r="M9" s="130">
        <v>19.0</v>
      </c>
    </row>
    <row r="10">
      <c r="A10" s="97" t="s">
        <v>784</v>
      </c>
      <c r="B10" s="116" t="s">
        <v>730</v>
      </c>
      <c r="C10" s="97" t="s">
        <v>684</v>
      </c>
      <c r="D10" s="97" t="s">
        <v>41</v>
      </c>
      <c r="E10" s="42" t="s">
        <v>106</v>
      </c>
      <c r="F10" s="97" t="s">
        <v>676</v>
      </c>
      <c r="G10" s="97" t="s">
        <v>106</v>
      </c>
      <c r="I10" s="131" t="s">
        <v>788</v>
      </c>
      <c r="J10" s="120">
        <f>COUNTIFS(F:F,"Experienced", G:G,"Intermediate Python")</f>
        <v>2</v>
      </c>
      <c r="K10" s="120">
        <f>COUNTIFS(F:F,"Inexperienced", G:G,"Intermediate Python")</f>
        <v>5</v>
      </c>
      <c r="L10" s="132">
        <f>COUNTIF(G:G,"=Intermediate Python")</f>
        <v>7</v>
      </c>
      <c r="M10" s="130">
        <v>5.0</v>
      </c>
    </row>
    <row r="11">
      <c r="A11" s="97" t="s">
        <v>782</v>
      </c>
      <c r="B11" s="116" t="s">
        <v>789</v>
      </c>
      <c r="C11" s="97" t="s">
        <v>684</v>
      </c>
      <c r="D11" s="97" t="s">
        <v>40</v>
      </c>
      <c r="E11" s="42" t="s">
        <v>106</v>
      </c>
      <c r="F11" s="97" t="s">
        <v>676</v>
      </c>
      <c r="G11" s="97" t="s">
        <v>106</v>
      </c>
      <c r="I11" s="131" t="s">
        <v>790</v>
      </c>
      <c r="J11" s="120">
        <f>COUNTIFS(F:F,"Experienced", G:G,"Microcontroller")</f>
        <v>1</v>
      </c>
      <c r="K11" s="120">
        <f>COUNTIFS(F:F,"Inexperienced", G:G,"Microcontroller")</f>
        <v>2</v>
      </c>
      <c r="L11" s="132">
        <f>COUNTIF(G:G,"=Microcontroller")</f>
        <v>3</v>
      </c>
      <c r="M11" s="130">
        <v>3.0</v>
      </c>
    </row>
    <row r="12">
      <c r="A12" s="97" t="s">
        <v>791</v>
      </c>
      <c r="B12" s="116" t="s">
        <v>127</v>
      </c>
      <c r="C12" s="97" t="s">
        <v>691</v>
      </c>
      <c r="D12" s="42" t="s">
        <v>40</v>
      </c>
      <c r="E12" s="97" t="s">
        <v>96</v>
      </c>
      <c r="F12" s="97" t="s">
        <v>689</v>
      </c>
      <c r="G12" s="97" t="s">
        <v>40</v>
      </c>
      <c r="I12" s="131" t="s">
        <v>792</v>
      </c>
      <c r="J12" s="120">
        <f>COUNTIFS(F:F,"Experienced", G:G,"Web Development")</f>
        <v>2</v>
      </c>
      <c r="K12" s="120">
        <f>COUNTIFS(F:F,"Inexperienced", G:G,"Web Development")</f>
        <v>2</v>
      </c>
      <c r="L12" s="132">
        <f>COUNTIF(G:G,"=Web Development")</f>
        <v>4</v>
      </c>
      <c r="M12" s="130">
        <v>5.0</v>
      </c>
    </row>
    <row r="13">
      <c r="A13" s="97" t="s">
        <v>793</v>
      </c>
      <c r="B13" s="116" t="s">
        <v>171</v>
      </c>
      <c r="C13" s="97" t="s">
        <v>686</v>
      </c>
      <c r="D13" s="42" t="s">
        <v>40</v>
      </c>
      <c r="E13" s="97" t="s">
        <v>41</v>
      </c>
      <c r="F13" s="97" t="s">
        <v>689</v>
      </c>
      <c r="G13" s="97" t="s">
        <v>40</v>
      </c>
      <c r="I13" s="133" t="s">
        <v>773</v>
      </c>
      <c r="J13" s="134">
        <f>COUNTIF(G:G,"=ADMIN")</f>
        <v>3</v>
      </c>
      <c r="K13" s="89"/>
      <c r="L13" s="90"/>
      <c r="M13" s="135">
        <f>SUM(M7,M8,M9,M10,M11,M12)</f>
        <v>39</v>
      </c>
    </row>
    <row r="14">
      <c r="A14" s="97" t="s">
        <v>793</v>
      </c>
      <c r="B14" s="116" t="s">
        <v>88</v>
      </c>
      <c r="C14" s="97" t="s">
        <v>691</v>
      </c>
      <c r="D14" s="42" t="s">
        <v>40</v>
      </c>
      <c r="E14" s="97" t="s">
        <v>41</v>
      </c>
      <c r="F14" s="97" t="s">
        <v>676</v>
      </c>
      <c r="G14" s="97" t="s">
        <v>40</v>
      </c>
      <c r="I14" s="119"/>
      <c r="J14" s="119"/>
      <c r="K14" s="119"/>
      <c r="L14" s="119"/>
      <c r="M14" s="119"/>
    </row>
    <row r="15">
      <c r="A15" s="97" t="s">
        <v>793</v>
      </c>
      <c r="B15" s="116" t="s">
        <v>228</v>
      </c>
      <c r="C15" s="97" t="s">
        <v>684</v>
      </c>
      <c r="D15" s="97" t="s">
        <v>41</v>
      </c>
      <c r="E15" s="42" t="s">
        <v>40</v>
      </c>
      <c r="F15" s="97" t="s">
        <v>676</v>
      </c>
      <c r="G15" s="97" t="s">
        <v>40</v>
      </c>
    </row>
    <row r="16">
      <c r="A16" s="97" t="s">
        <v>791</v>
      </c>
      <c r="B16" s="116" t="s">
        <v>324</v>
      </c>
      <c r="C16" s="97" t="s">
        <v>684</v>
      </c>
      <c r="D16" s="42" t="s">
        <v>40</v>
      </c>
      <c r="E16" s="97" t="s">
        <v>40</v>
      </c>
      <c r="F16" s="97" t="s">
        <v>676</v>
      </c>
      <c r="G16" s="97" t="s">
        <v>40</v>
      </c>
      <c r="I16" s="117"/>
      <c r="J16" s="117"/>
      <c r="K16" s="117"/>
      <c r="L16" s="117"/>
    </row>
    <row r="17">
      <c r="A17" s="97" t="s">
        <v>791</v>
      </c>
      <c r="B17" s="116" t="s">
        <v>727</v>
      </c>
      <c r="C17" s="97" t="s">
        <v>684</v>
      </c>
      <c r="D17" s="97" t="s">
        <v>41</v>
      </c>
      <c r="E17" s="42" t="s">
        <v>40</v>
      </c>
      <c r="F17" s="97" t="s">
        <v>676</v>
      </c>
      <c r="G17" s="97" t="s">
        <v>40</v>
      </c>
      <c r="I17" s="117"/>
      <c r="J17" s="117"/>
      <c r="K17" s="117"/>
      <c r="L17" s="117"/>
    </row>
    <row r="18">
      <c r="A18" s="97" t="s">
        <v>794</v>
      </c>
      <c r="B18" s="116" t="s">
        <v>795</v>
      </c>
      <c r="C18" s="97" t="s">
        <v>691</v>
      </c>
      <c r="D18" s="42" t="s">
        <v>96</v>
      </c>
      <c r="E18" s="97" t="s">
        <v>40</v>
      </c>
      <c r="F18" s="97" t="s">
        <v>689</v>
      </c>
      <c r="G18" s="97" t="s">
        <v>96</v>
      </c>
      <c r="I18" s="117"/>
      <c r="J18" s="117"/>
      <c r="K18" s="117"/>
      <c r="L18" s="117"/>
    </row>
    <row r="19">
      <c r="A19" s="97" t="s">
        <v>796</v>
      </c>
      <c r="B19" s="116" t="s">
        <v>797</v>
      </c>
      <c r="C19" s="97" t="s">
        <v>691</v>
      </c>
      <c r="D19" s="42" t="s">
        <v>96</v>
      </c>
      <c r="E19" s="97" t="s">
        <v>40</v>
      </c>
      <c r="F19" s="97" t="s">
        <v>689</v>
      </c>
      <c r="G19" s="59" t="s">
        <v>96</v>
      </c>
      <c r="I19" s="117"/>
      <c r="J19" s="117"/>
      <c r="K19" s="117"/>
      <c r="L19" s="117"/>
      <c r="M19" s="120"/>
    </row>
    <row r="20">
      <c r="A20" s="97" t="s">
        <v>798</v>
      </c>
      <c r="B20" s="116" t="s">
        <v>369</v>
      </c>
      <c r="C20" s="97" t="s">
        <v>686</v>
      </c>
      <c r="D20" s="97" t="s">
        <v>40</v>
      </c>
      <c r="E20" s="42" t="s">
        <v>96</v>
      </c>
      <c r="F20" s="97" t="s">
        <v>689</v>
      </c>
      <c r="G20" s="97" t="s">
        <v>96</v>
      </c>
      <c r="I20" s="117"/>
      <c r="J20" s="117"/>
      <c r="K20" s="117"/>
      <c r="L20" s="117"/>
      <c r="M20" s="120"/>
    </row>
    <row r="21">
      <c r="A21" s="97" t="s">
        <v>799</v>
      </c>
      <c r="B21" s="116" t="s">
        <v>475</v>
      </c>
      <c r="C21" s="97" t="s">
        <v>686</v>
      </c>
      <c r="D21" s="97" t="s">
        <v>40</v>
      </c>
      <c r="E21" s="42" t="s">
        <v>96</v>
      </c>
      <c r="F21" s="97" t="s">
        <v>689</v>
      </c>
      <c r="G21" s="97" t="s">
        <v>96</v>
      </c>
      <c r="I21" s="117"/>
      <c r="J21" s="117"/>
      <c r="K21" s="117"/>
      <c r="L21" s="117"/>
    </row>
    <row r="22">
      <c r="A22" s="97" t="s">
        <v>800</v>
      </c>
      <c r="B22" s="116" t="s">
        <v>400</v>
      </c>
      <c r="C22" s="97" t="s">
        <v>686</v>
      </c>
      <c r="D22" s="42" t="s">
        <v>96</v>
      </c>
      <c r="E22" s="97" t="s">
        <v>106</v>
      </c>
      <c r="F22" s="97" t="s">
        <v>689</v>
      </c>
      <c r="G22" s="97" t="s">
        <v>96</v>
      </c>
      <c r="I22" s="117"/>
      <c r="J22" s="117"/>
      <c r="K22" s="117"/>
      <c r="L22" s="117"/>
    </row>
    <row r="23">
      <c r="A23" s="97" t="s">
        <v>794</v>
      </c>
      <c r="B23" s="116" t="s">
        <v>707</v>
      </c>
      <c r="C23" s="97" t="s">
        <v>691</v>
      </c>
      <c r="D23" s="42" t="s">
        <v>96</v>
      </c>
      <c r="E23" s="97" t="s">
        <v>159</v>
      </c>
      <c r="F23" s="97" t="s">
        <v>676</v>
      </c>
      <c r="G23" s="97" t="s">
        <v>96</v>
      </c>
      <c r="I23" s="117"/>
      <c r="J23" s="117"/>
      <c r="K23" s="117"/>
      <c r="L23" s="117"/>
      <c r="M23" s="122"/>
    </row>
    <row r="24">
      <c r="B24" s="116" t="s">
        <v>182</v>
      </c>
      <c r="C24" s="97" t="s">
        <v>691</v>
      </c>
      <c r="D24" s="42" t="s">
        <v>96</v>
      </c>
      <c r="E24" s="97" t="s">
        <v>40</v>
      </c>
      <c r="F24" s="97" t="s">
        <v>676</v>
      </c>
      <c r="G24" s="136" t="s">
        <v>106</v>
      </c>
      <c r="I24" s="117"/>
      <c r="J24" s="117"/>
      <c r="K24" s="117"/>
      <c r="L24" s="117"/>
    </row>
    <row r="25">
      <c r="A25" s="97" t="s">
        <v>794</v>
      </c>
      <c r="B25" s="116" t="s">
        <v>530</v>
      </c>
      <c r="C25" s="97" t="s">
        <v>684</v>
      </c>
      <c r="D25" s="42" t="s">
        <v>96</v>
      </c>
      <c r="E25" s="97" t="s">
        <v>159</v>
      </c>
      <c r="F25" s="97" t="s">
        <v>676</v>
      </c>
      <c r="G25" s="97" t="s">
        <v>96</v>
      </c>
      <c r="I25" s="117"/>
      <c r="J25" s="117"/>
      <c r="K25" s="117"/>
      <c r="L25" s="117"/>
    </row>
    <row r="26">
      <c r="A26" s="97" t="s">
        <v>796</v>
      </c>
      <c r="B26" s="116" t="s">
        <v>118</v>
      </c>
      <c r="C26" s="97" t="s">
        <v>684</v>
      </c>
      <c r="D26" s="97" t="s">
        <v>40</v>
      </c>
      <c r="E26" s="42" t="s">
        <v>96</v>
      </c>
      <c r="F26" s="97" t="s">
        <v>676</v>
      </c>
      <c r="G26" s="97" t="s">
        <v>96</v>
      </c>
      <c r="I26" s="117"/>
      <c r="J26" s="117"/>
      <c r="K26" s="117"/>
      <c r="L26" s="117"/>
    </row>
    <row r="27">
      <c r="A27" s="97" t="s">
        <v>796</v>
      </c>
      <c r="B27" s="116" t="s">
        <v>256</v>
      </c>
      <c r="C27" s="97" t="s">
        <v>684</v>
      </c>
      <c r="D27" s="97" t="s">
        <v>40</v>
      </c>
      <c r="E27" s="97" t="s">
        <v>41</v>
      </c>
      <c r="F27" s="97" t="s">
        <v>676</v>
      </c>
      <c r="G27" s="59" t="s">
        <v>96</v>
      </c>
      <c r="I27" s="117"/>
      <c r="J27" s="117"/>
      <c r="K27" s="117"/>
      <c r="L27" s="117"/>
    </row>
    <row r="28">
      <c r="A28" s="97" t="s">
        <v>796</v>
      </c>
      <c r="B28" s="116" t="s">
        <v>149</v>
      </c>
      <c r="C28" s="97" t="s">
        <v>684</v>
      </c>
      <c r="D28" s="97" t="s">
        <v>40</v>
      </c>
      <c r="E28" s="97" t="s">
        <v>41</v>
      </c>
      <c r="F28" s="97" t="s">
        <v>676</v>
      </c>
      <c r="G28" s="101" t="s">
        <v>96</v>
      </c>
      <c r="I28" s="117"/>
      <c r="J28" s="117"/>
      <c r="K28" s="117"/>
      <c r="L28" s="117"/>
    </row>
    <row r="29">
      <c r="B29" s="116" t="s">
        <v>333</v>
      </c>
      <c r="C29" s="97" t="s">
        <v>686</v>
      </c>
      <c r="D29" s="97" t="s">
        <v>40</v>
      </c>
      <c r="E29" s="42" t="s">
        <v>96</v>
      </c>
      <c r="F29" s="97" t="s">
        <v>676</v>
      </c>
      <c r="G29" s="136" t="s">
        <v>106</v>
      </c>
      <c r="I29" s="117"/>
      <c r="J29" s="117"/>
      <c r="K29" s="117"/>
      <c r="L29" s="117"/>
      <c r="M29" s="121"/>
    </row>
    <row r="30">
      <c r="A30" s="97" t="s">
        <v>798</v>
      </c>
      <c r="B30" s="116" t="s">
        <v>219</v>
      </c>
      <c r="C30" s="137" t="s">
        <v>686</v>
      </c>
      <c r="D30" s="138" t="s">
        <v>96</v>
      </c>
      <c r="E30" s="137" t="s">
        <v>106</v>
      </c>
      <c r="F30" s="137" t="s">
        <v>676</v>
      </c>
      <c r="G30" s="137" t="s">
        <v>96</v>
      </c>
      <c r="I30" s="117"/>
      <c r="J30" s="117"/>
      <c r="K30" s="117"/>
      <c r="L30" s="117"/>
      <c r="M30" s="105"/>
    </row>
    <row r="31">
      <c r="A31" s="97" t="s">
        <v>798</v>
      </c>
      <c r="B31" s="116" t="s">
        <v>697</v>
      </c>
      <c r="C31" s="97" t="s">
        <v>686</v>
      </c>
      <c r="D31" s="97" t="s">
        <v>40</v>
      </c>
      <c r="E31" s="42" t="s">
        <v>96</v>
      </c>
      <c r="F31" s="97" t="s">
        <v>676</v>
      </c>
      <c r="G31" s="97" t="s">
        <v>96</v>
      </c>
      <c r="I31" s="117"/>
      <c r="J31" s="117"/>
      <c r="K31" s="117"/>
      <c r="L31" s="117"/>
    </row>
    <row r="32">
      <c r="A32" s="97" t="s">
        <v>799</v>
      </c>
      <c r="B32" s="116" t="s">
        <v>698</v>
      </c>
      <c r="C32" s="97" t="s">
        <v>686</v>
      </c>
      <c r="D32" s="97" t="s">
        <v>40</v>
      </c>
      <c r="E32" s="42" t="s">
        <v>96</v>
      </c>
      <c r="F32" s="97" t="s">
        <v>676</v>
      </c>
      <c r="G32" s="97" t="s">
        <v>96</v>
      </c>
      <c r="I32" s="117"/>
      <c r="J32" s="117"/>
      <c r="K32" s="117"/>
      <c r="L32" s="117"/>
    </row>
    <row r="33">
      <c r="A33" s="97" t="s">
        <v>799</v>
      </c>
      <c r="B33" s="116" t="s">
        <v>801</v>
      </c>
      <c r="C33" s="97" t="s">
        <v>686</v>
      </c>
      <c r="D33" s="97" t="s">
        <v>40</v>
      </c>
      <c r="E33" s="97" t="s">
        <v>41</v>
      </c>
      <c r="F33" s="97" t="s">
        <v>676</v>
      </c>
      <c r="G33" s="101" t="s">
        <v>96</v>
      </c>
      <c r="I33" s="117"/>
      <c r="J33" s="117"/>
      <c r="K33" s="117"/>
      <c r="L33" s="117"/>
    </row>
    <row r="34">
      <c r="A34" s="97" t="s">
        <v>799</v>
      </c>
      <c r="B34" s="116" t="s">
        <v>541</v>
      </c>
      <c r="C34" s="97" t="s">
        <v>686</v>
      </c>
      <c r="D34" s="97" t="s">
        <v>41</v>
      </c>
      <c r="E34" s="97" t="s">
        <v>40</v>
      </c>
      <c r="F34" s="97" t="s">
        <v>676</v>
      </c>
      <c r="G34" s="101" t="s">
        <v>96</v>
      </c>
      <c r="I34" s="117"/>
      <c r="J34" s="117"/>
      <c r="K34" s="117"/>
      <c r="L34" s="117"/>
    </row>
    <row r="35">
      <c r="A35" s="97" t="s">
        <v>800</v>
      </c>
      <c r="B35" s="116" t="s">
        <v>614</v>
      </c>
      <c r="C35" s="97" t="s">
        <v>686</v>
      </c>
      <c r="D35" s="42" t="s">
        <v>96</v>
      </c>
      <c r="E35" s="97" t="s">
        <v>106</v>
      </c>
      <c r="F35" s="97" t="s">
        <v>676</v>
      </c>
      <c r="G35" s="59" t="s">
        <v>96</v>
      </c>
    </row>
    <row r="36">
      <c r="A36" s="97" t="s">
        <v>800</v>
      </c>
      <c r="B36" s="116" t="s">
        <v>138</v>
      </c>
      <c r="C36" s="97" t="s">
        <v>686</v>
      </c>
      <c r="D36" s="97" t="s">
        <v>41</v>
      </c>
      <c r="E36" s="97" t="s">
        <v>40</v>
      </c>
      <c r="F36" s="97" t="s">
        <v>676</v>
      </c>
      <c r="G36" s="59" t="s">
        <v>96</v>
      </c>
    </row>
    <row r="37">
      <c r="A37" s="97" t="s">
        <v>800</v>
      </c>
      <c r="B37" s="116" t="s">
        <v>559</v>
      </c>
      <c r="C37" s="97" t="s">
        <v>686</v>
      </c>
      <c r="D37" s="97" t="s">
        <v>106</v>
      </c>
      <c r="E37" s="42" t="s">
        <v>96</v>
      </c>
      <c r="F37" s="97" t="s">
        <v>676</v>
      </c>
      <c r="G37" s="59" t="s">
        <v>96</v>
      </c>
      <c r="I37" s="121"/>
    </row>
    <row r="38">
      <c r="A38" s="97" t="s">
        <v>790</v>
      </c>
      <c r="B38" s="116" t="s">
        <v>802</v>
      </c>
      <c r="C38" s="97" t="s">
        <v>691</v>
      </c>
      <c r="D38" s="42" t="s">
        <v>159</v>
      </c>
      <c r="E38" s="97" t="s">
        <v>159</v>
      </c>
      <c r="F38" s="97" t="s">
        <v>689</v>
      </c>
      <c r="G38" s="59" t="s">
        <v>159</v>
      </c>
      <c r="I38" s="119"/>
      <c r="J38" s="120"/>
      <c r="K38" s="120"/>
      <c r="L38" s="121"/>
      <c r="M38" s="120"/>
    </row>
    <row r="39">
      <c r="A39" s="97" t="s">
        <v>790</v>
      </c>
      <c r="B39" s="116" t="s">
        <v>467</v>
      </c>
      <c r="C39" s="97" t="s">
        <v>691</v>
      </c>
      <c r="D39" s="42" t="s">
        <v>159</v>
      </c>
      <c r="E39" s="97" t="s">
        <v>409</v>
      </c>
      <c r="F39" s="97" t="s">
        <v>676</v>
      </c>
      <c r="G39" s="59" t="s">
        <v>159</v>
      </c>
      <c r="I39" s="119"/>
      <c r="J39" s="121"/>
      <c r="K39" s="121"/>
      <c r="L39" s="121"/>
      <c r="M39" s="121"/>
    </row>
    <row r="40">
      <c r="A40" s="97" t="s">
        <v>790</v>
      </c>
      <c r="B40" s="116" t="s">
        <v>161</v>
      </c>
      <c r="C40" s="97" t="s">
        <v>686</v>
      </c>
      <c r="D40" s="42" t="s">
        <v>159</v>
      </c>
      <c r="E40" s="97" t="s">
        <v>106</v>
      </c>
      <c r="F40" s="97" t="s">
        <v>676</v>
      </c>
      <c r="G40" s="59" t="s">
        <v>159</v>
      </c>
    </row>
    <row r="41">
      <c r="A41" s="97" t="s">
        <v>792</v>
      </c>
      <c r="B41" s="116" t="s">
        <v>803</v>
      </c>
      <c r="C41" s="97" t="s">
        <v>691</v>
      </c>
      <c r="D41" s="97" t="s">
        <v>40</v>
      </c>
      <c r="E41" s="97" t="s">
        <v>41</v>
      </c>
      <c r="F41" s="97" t="s">
        <v>689</v>
      </c>
      <c r="G41" s="59" t="s">
        <v>409</v>
      </c>
      <c r="I41" s="119"/>
      <c r="J41" s="120"/>
      <c r="K41" s="120"/>
      <c r="L41" s="121"/>
      <c r="M41" s="120"/>
    </row>
    <row r="42">
      <c r="A42" s="97" t="s">
        <v>792</v>
      </c>
      <c r="B42" s="116" t="s">
        <v>439</v>
      </c>
      <c r="C42" s="97" t="s">
        <v>684</v>
      </c>
      <c r="D42" s="97" t="s">
        <v>41</v>
      </c>
      <c r="E42" s="97" t="s">
        <v>40</v>
      </c>
      <c r="F42" s="97" t="s">
        <v>689</v>
      </c>
      <c r="G42" s="59" t="s">
        <v>409</v>
      </c>
      <c r="I42" s="119"/>
      <c r="J42" s="120"/>
      <c r="K42" s="120"/>
      <c r="L42" s="121"/>
      <c r="M42" s="122"/>
    </row>
    <row r="43">
      <c r="A43" s="97" t="s">
        <v>792</v>
      </c>
      <c r="B43" s="116" t="s">
        <v>804</v>
      </c>
      <c r="C43" s="97" t="s">
        <v>684</v>
      </c>
      <c r="D43" s="97" t="s">
        <v>40</v>
      </c>
      <c r="E43" s="97" t="s">
        <v>41</v>
      </c>
      <c r="F43" s="97" t="s">
        <v>676</v>
      </c>
      <c r="G43" s="101" t="s">
        <v>409</v>
      </c>
      <c r="I43" s="119"/>
      <c r="J43" s="119"/>
      <c r="K43" s="119"/>
      <c r="L43" s="119"/>
      <c r="M43" s="119"/>
    </row>
    <row r="44">
      <c r="A44" s="97" t="s">
        <v>792</v>
      </c>
      <c r="B44" s="116" t="s">
        <v>286</v>
      </c>
      <c r="C44" s="97" t="s">
        <v>684</v>
      </c>
      <c r="D44" s="97" t="s">
        <v>41</v>
      </c>
      <c r="E44" s="97" t="s">
        <v>40</v>
      </c>
      <c r="F44" s="97" t="s">
        <v>676</v>
      </c>
      <c r="G44" s="101" t="s">
        <v>409</v>
      </c>
    </row>
  </sheetData>
  <mergeCells count="2">
    <mergeCell ref="I5:L5"/>
    <mergeCell ref="J13:L13"/>
  </mergeCells>
  <conditionalFormatting sqref="F2:F990">
    <cfRule type="cellIs" dxfId="9" priority="1" operator="equal">
      <formula>"Experienced"</formula>
    </cfRule>
  </conditionalFormatting>
  <conditionalFormatting sqref="F2:F990">
    <cfRule type="cellIs" dxfId="10" priority="2" operator="equal">
      <formula>"Inexperienced"</formula>
    </cfRule>
  </conditionalFormatting>
  <conditionalFormatting sqref="G1 G3 G5:G8 G10 G19:G21 G27:G28 G30 G32 G37 G39:G42 G45:G990">
    <cfRule type="cellIs" dxfId="6" priority="3" operator="equal">
      <formula>"ADMIN"</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63"/>
    <col customWidth="1" min="3" max="3" width="7.25"/>
    <col customWidth="1" min="4" max="5" width="17.75"/>
    <col customWidth="1" min="6" max="6" width="15.38"/>
    <col customWidth="1" min="7" max="7" width="16.63"/>
    <col customWidth="1" min="10" max="13" width="6.38"/>
  </cols>
  <sheetData>
    <row r="1" ht="48.75" customHeight="1">
      <c r="A1" s="117" t="s">
        <v>805</v>
      </c>
      <c r="B1" s="117" t="s">
        <v>806</v>
      </c>
      <c r="C1" s="117" t="s">
        <v>5</v>
      </c>
      <c r="D1" s="118" t="s">
        <v>660</v>
      </c>
      <c r="E1" s="118" t="s">
        <v>661</v>
      </c>
      <c r="F1" s="117" t="s">
        <v>771</v>
      </c>
      <c r="G1" s="117" t="s">
        <v>772</v>
      </c>
    </row>
    <row r="2">
      <c r="A2" s="97" t="s">
        <v>773</v>
      </c>
      <c r="B2" s="116" t="s">
        <v>361</v>
      </c>
      <c r="C2" s="97" t="s">
        <v>691</v>
      </c>
      <c r="D2" s="97" t="s">
        <v>40</v>
      </c>
      <c r="E2" s="97" t="s">
        <v>41</v>
      </c>
      <c r="F2" s="97" t="s">
        <v>689</v>
      </c>
      <c r="G2" s="97" t="s">
        <v>773</v>
      </c>
      <c r="I2" s="119"/>
      <c r="J2" s="119"/>
      <c r="K2" s="119"/>
      <c r="L2" s="119"/>
      <c r="M2" s="119"/>
    </row>
    <row r="3">
      <c r="A3" s="97" t="s">
        <v>773</v>
      </c>
      <c r="B3" s="116" t="s">
        <v>342</v>
      </c>
      <c r="C3" s="97" t="s">
        <v>691</v>
      </c>
      <c r="D3" s="97" t="s">
        <v>96</v>
      </c>
      <c r="E3" s="97" t="s">
        <v>106</v>
      </c>
      <c r="F3" s="97" t="s">
        <v>689</v>
      </c>
      <c r="G3" s="97" t="s">
        <v>773</v>
      </c>
      <c r="I3" s="119"/>
      <c r="J3" s="120"/>
      <c r="K3" s="120"/>
      <c r="L3" s="121"/>
      <c r="M3" s="120"/>
    </row>
    <row r="4">
      <c r="A4" s="97" t="s">
        <v>807</v>
      </c>
      <c r="B4" s="116" t="s">
        <v>78</v>
      </c>
      <c r="C4" s="97" t="s">
        <v>684</v>
      </c>
      <c r="D4" s="42" t="s">
        <v>41</v>
      </c>
      <c r="E4" s="97" t="s">
        <v>40</v>
      </c>
      <c r="F4" s="97" t="s">
        <v>689</v>
      </c>
      <c r="G4" s="97" t="s">
        <v>41</v>
      </c>
    </row>
    <row r="5">
      <c r="A5" s="97" t="s">
        <v>807</v>
      </c>
      <c r="B5" s="116" t="s">
        <v>605</v>
      </c>
      <c r="C5" s="97" t="s">
        <v>684</v>
      </c>
      <c r="D5" s="42" t="s">
        <v>41</v>
      </c>
      <c r="E5" s="97" t="s">
        <v>40</v>
      </c>
      <c r="F5" s="97" t="s">
        <v>676</v>
      </c>
      <c r="G5" s="59" t="s">
        <v>41</v>
      </c>
      <c r="I5" s="123" t="s">
        <v>775</v>
      </c>
      <c r="J5" s="20"/>
      <c r="K5" s="20"/>
      <c r="L5" s="21"/>
      <c r="M5" s="124" t="s">
        <v>776</v>
      </c>
    </row>
    <row r="6">
      <c r="A6" s="97" t="s">
        <v>807</v>
      </c>
      <c r="B6" s="116" t="s">
        <v>727</v>
      </c>
      <c r="C6" s="97" t="s">
        <v>684</v>
      </c>
      <c r="D6" s="42" t="s">
        <v>41</v>
      </c>
      <c r="E6" s="97" t="s">
        <v>40</v>
      </c>
      <c r="F6" s="97" t="s">
        <v>676</v>
      </c>
      <c r="G6" s="97" t="s">
        <v>41</v>
      </c>
      <c r="I6" s="123" t="s">
        <v>777</v>
      </c>
      <c r="J6" s="125" t="s">
        <v>778</v>
      </c>
      <c r="K6" s="126" t="s">
        <v>779</v>
      </c>
      <c r="L6" s="127" t="s">
        <v>780</v>
      </c>
      <c r="M6" s="127" t="s">
        <v>781</v>
      </c>
    </row>
    <row r="7">
      <c r="A7" s="97" t="s">
        <v>774</v>
      </c>
      <c r="B7" s="116" t="s">
        <v>541</v>
      </c>
      <c r="C7" s="97" t="s">
        <v>686</v>
      </c>
      <c r="D7" s="42" t="s">
        <v>41</v>
      </c>
      <c r="E7" s="97" t="s">
        <v>40</v>
      </c>
      <c r="F7" s="97" t="s">
        <v>676</v>
      </c>
      <c r="G7" s="97" t="s">
        <v>41</v>
      </c>
      <c r="I7" s="123" t="s">
        <v>783</v>
      </c>
      <c r="J7" s="128">
        <f>COUNTIFS(F:F,"Experienced", G:G,"Intro Java")</f>
        <v>2</v>
      </c>
      <c r="K7" s="120">
        <f>COUNTIFS(F:F,"Inexperienced", G:G,"Intro Java")</f>
        <v>4</v>
      </c>
      <c r="L7" s="129">
        <f>COUNTIF(G:G,"=Intro Java")</f>
        <v>6</v>
      </c>
      <c r="M7" s="130">
        <v>6.0</v>
      </c>
    </row>
    <row r="8">
      <c r="A8" s="97" t="s">
        <v>774</v>
      </c>
      <c r="B8" s="116" t="s">
        <v>171</v>
      </c>
      <c r="C8" s="97" t="s">
        <v>686</v>
      </c>
      <c r="D8" s="42" t="s">
        <v>40</v>
      </c>
      <c r="E8" s="97" t="s">
        <v>41</v>
      </c>
      <c r="F8" s="97" t="s">
        <v>689</v>
      </c>
      <c r="G8" s="97" t="s">
        <v>41</v>
      </c>
      <c r="I8" s="131"/>
      <c r="J8" s="119"/>
      <c r="K8" s="119"/>
      <c r="L8" s="139"/>
      <c r="M8" s="140"/>
    </row>
    <row r="9">
      <c r="A9" s="97" t="s">
        <v>782</v>
      </c>
      <c r="B9" s="116" t="s">
        <v>107</v>
      </c>
      <c r="C9" s="97" t="s">
        <v>691</v>
      </c>
      <c r="D9" s="97" t="s">
        <v>96</v>
      </c>
      <c r="E9" s="42" t="s">
        <v>106</v>
      </c>
      <c r="F9" s="97" t="s">
        <v>689</v>
      </c>
      <c r="G9" s="97" t="s">
        <v>106</v>
      </c>
      <c r="I9" s="131" t="s">
        <v>785</v>
      </c>
      <c r="J9" s="120">
        <f>COUNTIFS(F:F,"Experienced", G:G,"Intermediate Java")</f>
        <v>2</v>
      </c>
      <c r="K9" s="120">
        <f>COUNTIFS(F:F,"Inexperienced", G:G,"Intermediate Java")</f>
        <v>3</v>
      </c>
      <c r="L9" s="121">
        <f>COUNTIF(G:G,"=Intermediate Java")</f>
        <v>5</v>
      </c>
      <c r="M9" s="130">
        <v>4.0</v>
      </c>
    </row>
    <row r="10">
      <c r="A10" s="97" t="s">
        <v>784</v>
      </c>
      <c r="B10" s="116" t="s">
        <v>420</v>
      </c>
      <c r="C10" s="97" t="s">
        <v>691</v>
      </c>
      <c r="D10" s="42" t="s">
        <v>106</v>
      </c>
      <c r="E10" s="97" t="s">
        <v>96</v>
      </c>
      <c r="F10" s="97" t="s">
        <v>689</v>
      </c>
      <c r="G10" s="97" t="s">
        <v>106</v>
      </c>
      <c r="I10" s="131" t="s">
        <v>787</v>
      </c>
      <c r="J10" s="120">
        <f>COUNTIFS(F:F,"Experienced", G:G,"Intro Python")</f>
        <v>4</v>
      </c>
      <c r="K10" s="120">
        <f>COUNTIFS(F:F,"Inexperienced", G:G,"Intro Python")</f>
        <v>5</v>
      </c>
      <c r="L10" s="132">
        <f>COUNTIF(G:G,"=Intro Python")</f>
        <v>9</v>
      </c>
      <c r="M10" s="130">
        <v>7.0</v>
      </c>
    </row>
    <row r="11">
      <c r="A11" s="97" t="s">
        <v>808</v>
      </c>
      <c r="B11" s="116" t="s">
        <v>247</v>
      </c>
      <c r="C11" s="97" t="s">
        <v>691</v>
      </c>
      <c r="D11" s="42" t="s">
        <v>106</v>
      </c>
      <c r="E11" s="97" t="s">
        <v>159</v>
      </c>
      <c r="F11" s="97" t="s">
        <v>689</v>
      </c>
      <c r="G11" s="97" t="s">
        <v>106</v>
      </c>
      <c r="I11" s="131" t="s">
        <v>788</v>
      </c>
      <c r="J11" s="120">
        <f>COUNTIFS(F:F,"Experienced", G:G,"Intermediate Python")</f>
        <v>3</v>
      </c>
      <c r="K11" s="120">
        <f>COUNTIFS(F:F,"Inexperienced", G:G,"Intermediate Python")</f>
        <v>6</v>
      </c>
      <c r="L11" s="132">
        <f>COUNTIF(G:G,"=Intermediate Python")</f>
        <v>9</v>
      </c>
      <c r="M11" s="130">
        <v>10.0</v>
      </c>
    </row>
    <row r="12">
      <c r="A12" s="97" t="s">
        <v>782</v>
      </c>
      <c r="B12" s="116" t="s">
        <v>730</v>
      </c>
      <c r="C12" s="97" t="s">
        <v>684</v>
      </c>
      <c r="D12" s="97" t="s">
        <v>41</v>
      </c>
      <c r="E12" s="42" t="s">
        <v>106</v>
      </c>
      <c r="F12" s="97" t="s">
        <v>676</v>
      </c>
      <c r="G12" s="97" t="s">
        <v>106</v>
      </c>
      <c r="I12" s="141"/>
      <c r="M12" s="142"/>
    </row>
    <row r="13">
      <c r="A13" s="97" t="s">
        <v>784</v>
      </c>
      <c r="B13" s="116" t="s">
        <v>625</v>
      </c>
      <c r="C13" s="97" t="s">
        <v>686</v>
      </c>
      <c r="D13" s="97" t="s">
        <v>96</v>
      </c>
      <c r="E13" s="42" t="s">
        <v>106</v>
      </c>
      <c r="F13" s="97" t="s">
        <v>676</v>
      </c>
      <c r="G13" s="97" t="s">
        <v>106</v>
      </c>
      <c r="I13" s="143"/>
      <c r="J13" s="144"/>
      <c r="M13" s="145"/>
    </row>
    <row r="14">
      <c r="A14" s="97" t="s">
        <v>808</v>
      </c>
      <c r="B14" s="116" t="s">
        <v>559</v>
      </c>
      <c r="C14" s="97" t="s">
        <v>686</v>
      </c>
      <c r="D14" s="42" t="s">
        <v>106</v>
      </c>
      <c r="E14" s="97" t="s">
        <v>96</v>
      </c>
      <c r="F14" s="97" t="s">
        <v>676</v>
      </c>
      <c r="G14" s="97" t="s">
        <v>106</v>
      </c>
      <c r="I14" s="119"/>
      <c r="J14" s="120"/>
      <c r="K14" s="120"/>
      <c r="L14" s="121"/>
      <c r="M14" s="120"/>
    </row>
    <row r="15">
      <c r="A15" s="97" t="s">
        <v>793</v>
      </c>
      <c r="B15" s="116" t="s">
        <v>127</v>
      </c>
      <c r="C15" s="97" t="s">
        <v>691</v>
      </c>
      <c r="D15" s="97" t="s">
        <v>40</v>
      </c>
      <c r="E15" s="97" t="s">
        <v>96</v>
      </c>
      <c r="F15" s="97" t="s">
        <v>689</v>
      </c>
      <c r="G15" s="97" t="s">
        <v>40</v>
      </c>
      <c r="I15" s="146" t="s">
        <v>790</v>
      </c>
      <c r="J15" s="120">
        <f>COUNTIFS(F:F,"Experienced", G:G,"Microcontroller")</f>
        <v>1</v>
      </c>
      <c r="K15" s="120">
        <f>COUNTIFS(F:F,"Inexperienced", G:G,"Microcontroller")</f>
        <v>2</v>
      </c>
      <c r="L15" s="121">
        <f>COUNTIF(G:G,"=Microcontroller")</f>
        <v>3</v>
      </c>
      <c r="M15" s="120">
        <v>4.0</v>
      </c>
    </row>
    <row r="16">
      <c r="A16" s="97" t="s">
        <v>791</v>
      </c>
      <c r="B16" s="116" t="s">
        <v>797</v>
      </c>
      <c r="C16" s="97" t="s">
        <v>691</v>
      </c>
      <c r="D16" s="97" t="s">
        <v>96</v>
      </c>
      <c r="E16" s="97" t="s">
        <v>40</v>
      </c>
      <c r="F16" s="97" t="s">
        <v>689</v>
      </c>
      <c r="G16" s="97" t="s">
        <v>40</v>
      </c>
      <c r="I16" s="119"/>
      <c r="J16" s="120"/>
      <c r="K16" s="120"/>
      <c r="L16" s="121"/>
      <c r="M16" s="120"/>
    </row>
    <row r="17">
      <c r="A17" s="97" t="s">
        <v>791</v>
      </c>
      <c r="B17" s="116" t="s">
        <v>228</v>
      </c>
      <c r="C17" s="97" t="s">
        <v>684</v>
      </c>
      <c r="D17" s="97" t="s">
        <v>41</v>
      </c>
      <c r="E17" s="97" t="s">
        <v>40</v>
      </c>
      <c r="F17" s="97" t="s">
        <v>676</v>
      </c>
      <c r="G17" s="97" t="s">
        <v>40</v>
      </c>
    </row>
    <row r="18">
      <c r="A18" s="97" t="s">
        <v>793</v>
      </c>
      <c r="B18" s="116" t="s">
        <v>88</v>
      </c>
      <c r="C18" s="97" t="s">
        <v>691</v>
      </c>
      <c r="D18" s="42" t="s">
        <v>40</v>
      </c>
      <c r="E18" s="97" t="s">
        <v>41</v>
      </c>
      <c r="F18" s="97" t="s">
        <v>676</v>
      </c>
      <c r="G18" s="97" t="s">
        <v>40</v>
      </c>
      <c r="I18" s="119"/>
      <c r="J18" s="119"/>
      <c r="K18" s="119"/>
      <c r="L18" s="119"/>
      <c r="M18" s="119"/>
    </row>
    <row r="19">
      <c r="A19" s="97" t="s">
        <v>791</v>
      </c>
      <c r="B19" s="116" t="s">
        <v>324</v>
      </c>
      <c r="C19" s="97" t="s">
        <v>684</v>
      </c>
      <c r="D19" s="42" t="s">
        <v>40</v>
      </c>
      <c r="E19" s="97" t="s">
        <v>40</v>
      </c>
      <c r="F19" s="97" t="s">
        <v>676</v>
      </c>
      <c r="G19" s="147" t="s">
        <v>40</v>
      </c>
      <c r="I19" s="119"/>
      <c r="J19" s="119"/>
      <c r="K19" s="119"/>
      <c r="L19" s="119"/>
      <c r="M19" s="119"/>
    </row>
    <row r="20">
      <c r="A20" s="97" t="s">
        <v>793</v>
      </c>
      <c r="B20" s="116" t="s">
        <v>191</v>
      </c>
      <c r="C20" s="97" t="s">
        <v>686</v>
      </c>
      <c r="D20" s="42" t="s">
        <v>40</v>
      </c>
      <c r="E20" s="97" t="s">
        <v>41</v>
      </c>
      <c r="F20" s="97" t="s">
        <v>676</v>
      </c>
      <c r="G20" s="97" t="s">
        <v>40</v>
      </c>
      <c r="I20" s="119"/>
      <c r="J20" s="119"/>
      <c r="K20" s="119"/>
      <c r="L20" s="119"/>
      <c r="M20" s="119"/>
    </row>
    <row r="21">
      <c r="A21" s="97" t="s">
        <v>798</v>
      </c>
      <c r="B21" s="116" t="s">
        <v>333</v>
      </c>
      <c r="C21" s="97" t="s">
        <v>686</v>
      </c>
      <c r="D21" s="97" t="s">
        <v>40</v>
      </c>
      <c r="E21" s="42" t="s">
        <v>96</v>
      </c>
      <c r="F21" s="97" t="s">
        <v>676</v>
      </c>
      <c r="G21" s="97" t="s">
        <v>96</v>
      </c>
      <c r="I21" s="119"/>
      <c r="J21" s="119"/>
      <c r="K21" s="119"/>
      <c r="L21" s="119"/>
      <c r="M21" s="119"/>
    </row>
    <row r="22">
      <c r="A22" s="97" t="s">
        <v>799</v>
      </c>
      <c r="B22" s="116" t="s">
        <v>400</v>
      </c>
      <c r="C22" s="97" t="s">
        <v>686</v>
      </c>
      <c r="D22" s="97" t="s">
        <v>96</v>
      </c>
      <c r="E22" s="97" t="s">
        <v>106</v>
      </c>
      <c r="F22" s="97" t="s">
        <v>689</v>
      </c>
      <c r="G22" s="97" t="s">
        <v>96</v>
      </c>
      <c r="I22" s="119" t="s">
        <v>773</v>
      </c>
      <c r="J22" s="121">
        <f>COUNTIF(G:G,"=ADMIN")</f>
        <v>2</v>
      </c>
      <c r="M22" s="120">
        <f>SUM(M16,M17,M18,M19,M20,M21)</f>
        <v>0</v>
      </c>
    </row>
    <row r="23">
      <c r="A23" s="97" t="s">
        <v>798</v>
      </c>
      <c r="B23" s="116" t="s">
        <v>369</v>
      </c>
      <c r="C23" s="97" t="s">
        <v>686</v>
      </c>
      <c r="D23" s="97" t="s">
        <v>40</v>
      </c>
      <c r="E23" s="42" t="s">
        <v>96</v>
      </c>
      <c r="F23" s="97" t="s">
        <v>689</v>
      </c>
      <c r="G23" s="97" t="s">
        <v>96</v>
      </c>
      <c r="I23" s="119" t="s">
        <v>792</v>
      </c>
      <c r="J23" s="120">
        <f>COUNTIFS(F:F,"Experienced", G:G,"Web Development")</f>
        <v>2</v>
      </c>
      <c r="K23" s="120">
        <f>COUNTIFS(F:F,"Inexperienced", G:G,"Web Development")</f>
        <v>4</v>
      </c>
      <c r="L23" s="121">
        <f>COUNTIF(G:G,"=Web Development")</f>
        <v>6</v>
      </c>
      <c r="M23" s="120">
        <v>6.0</v>
      </c>
    </row>
    <row r="24">
      <c r="A24" s="97" t="s">
        <v>800</v>
      </c>
      <c r="B24" s="116" t="s">
        <v>795</v>
      </c>
      <c r="C24" s="97" t="s">
        <v>691</v>
      </c>
      <c r="D24" s="42" t="s">
        <v>96</v>
      </c>
      <c r="E24" s="97" t="s">
        <v>40</v>
      </c>
      <c r="F24" s="97" t="s">
        <v>689</v>
      </c>
      <c r="G24" s="97" t="s">
        <v>96</v>
      </c>
    </row>
    <row r="25">
      <c r="A25" s="97" t="s">
        <v>799</v>
      </c>
      <c r="B25" s="116" t="s">
        <v>475</v>
      </c>
      <c r="C25" s="97" t="s">
        <v>686</v>
      </c>
      <c r="D25" s="97" t="s">
        <v>40</v>
      </c>
      <c r="E25" s="42" t="s">
        <v>96</v>
      </c>
      <c r="F25" s="97" t="s">
        <v>689</v>
      </c>
      <c r="G25" s="97" t="s">
        <v>96</v>
      </c>
    </row>
    <row r="26">
      <c r="A26" s="97" t="s">
        <v>782</v>
      </c>
      <c r="B26" s="116" t="s">
        <v>707</v>
      </c>
      <c r="C26" s="97" t="s">
        <v>691</v>
      </c>
      <c r="D26" s="42" t="s">
        <v>96</v>
      </c>
      <c r="E26" s="97" t="s">
        <v>159</v>
      </c>
      <c r="F26" s="97" t="s">
        <v>676</v>
      </c>
      <c r="G26" s="101" t="s">
        <v>106</v>
      </c>
      <c r="I26" s="119"/>
      <c r="J26" s="119"/>
      <c r="K26" s="119"/>
      <c r="L26" s="119"/>
      <c r="M26" s="119"/>
    </row>
    <row r="27">
      <c r="A27" s="97" t="s">
        <v>782</v>
      </c>
      <c r="B27" s="116" t="s">
        <v>182</v>
      </c>
      <c r="C27" s="97" t="s">
        <v>691</v>
      </c>
      <c r="D27" s="42" t="s">
        <v>96</v>
      </c>
      <c r="E27" s="97" t="s">
        <v>40</v>
      </c>
      <c r="F27" s="97" t="s">
        <v>676</v>
      </c>
      <c r="G27" s="101" t="s">
        <v>106</v>
      </c>
    </row>
    <row r="28">
      <c r="A28" s="97" t="s">
        <v>800</v>
      </c>
      <c r="B28" s="116" t="s">
        <v>530</v>
      </c>
      <c r="C28" s="97" t="s">
        <v>684</v>
      </c>
      <c r="D28" s="42" t="s">
        <v>96</v>
      </c>
      <c r="E28" s="97" t="s">
        <v>159</v>
      </c>
      <c r="F28" s="97" t="s">
        <v>676</v>
      </c>
      <c r="G28" s="59" t="s">
        <v>96</v>
      </c>
    </row>
    <row r="29">
      <c r="A29" s="97" t="s">
        <v>800</v>
      </c>
      <c r="B29" s="116" t="s">
        <v>118</v>
      </c>
      <c r="C29" s="97" t="s">
        <v>684</v>
      </c>
      <c r="D29" s="97" t="s">
        <v>40</v>
      </c>
      <c r="E29" s="42" t="s">
        <v>96</v>
      </c>
      <c r="F29" s="97" t="s">
        <v>676</v>
      </c>
      <c r="G29" s="97" t="s">
        <v>96</v>
      </c>
    </row>
    <row r="30">
      <c r="A30" s="97" t="s">
        <v>798</v>
      </c>
      <c r="B30" s="116" t="s">
        <v>599</v>
      </c>
      <c r="C30" s="97" t="s">
        <v>686</v>
      </c>
      <c r="D30" s="42" t="s">
        <v>96</v>
      </c>
      <c r="E30" s="97" t="s">
        <v>96</v>
      </c>
      <c r="F30" s="97" t="s">
        <v>676</v>
      </c>
      <c r="G30" s="59" t="s">
        <v>96</v>
      </c>
      <c r="I30" s="119"/>
      <c r="J30" s="119"/>
      <c r="K30" s="119"/>
      <c r="L30" s="119"/>
      <c r="M30" s="119"/>
    </row>
    <row r="31">
      <c r="A31" s="97" t="s">
        <v>799</v>
      </c>
      <c r="B31" s="116" t="s">
        <v>698</v>
      </c>
      <c r="C31" s="97" t="s">
        <v>686</v>
      </c>
      <c r="D31" s="97" t="s">
        <v>40</v>
      </c>
      <c r="E31" s="42" t="s">
        <v>96</v>
      </c>
      <c r="F31" s="97" t="s">
        <v>676</v>
      </c>
      <c r="G31" s="97" t="s">
        <v>96</v>
      </c>
    </row>
    <row r="32">
      <c r="A32" s="97" t="s">
        <v>784</v>
      </c>
      <c r="B32" s="116" t="s">
        <v>502</v>
      </c>
      <c r="D32" s="97" t="s">
        <v>40</v>
      </c>
      <c r="E32" s="42" t="s">
        <v>96</v>
      </c>
      <c r="F32" s="97" t="s">
        <v>676</v>
      </c>
      <c r="G32" s="101" t="s">
        <v>106</v>
      </c>
      <c r="I32" s="119"/>
      <c r="J32" s="119"/>
      <c r="K32" s="119"/>
      <c r="L32" s="119"/>
      <c r="M32" s="119"/>
    </row>
    <row r="33">
      <c r="A33" s="97" t="s">
        <v>790</v>
      </c>
      <c r="B33" s="116" t="s">
        <v>802</v>
      </c>
      <c r="C33" s="97" t="s">
        <v>691</v>
      </c>
      <c r="D33" s="42" t="s">
        <v>159</v>
      </c>
      <c r="E33" s="97" t="s">
        <v>159</v>
      </c>
      <c r="F33" s="97" t="s">
        <v>689</v>
      </c>
      <c r="G33" s="59" t="s">
        <v>159</v>
      </c>
      <c r="I33" s="119"/>
      <c r="J33" s="120"/>
      <c r="K33" s="120"/>
      <c r="L33" s="121"/>
      <c r="M33" s="120"/>
    </row>
    <row r="34">
      <c r="A34" s="97" t="s">
        <v>790</v>
      </c>
      <c r="B34" s="116" t="s">
        <v>467</v>
      </c>
      <c r="C34" s="97" t="s">
        <v>691</v>
      </c>
      <c r="D34" s="42" t="s">
        <v>159</v>
      </c>
      <c r="E34" s="97" t="s">
        <v>409</v>
      </c>
      <c r="F34" s="97" t="s">
        <v>676</v>
      </c>
      <c r="G34" s="97" t="s">
        <v>159</v>
      </c>
      <c r="I34" s="119"/>
      <c r="J34" s="121"/>
      <c r="K34" s="121"/>
      <c r="L34" s="121"/>
      <c r="M34" s="121"/>
    </row>
    <row r="35">
      <c r="A35" s="97" t="s">
        <v>790</v>
      </c>
      <c r="B35" s="116" t="s">
        <v>161</v>
      </c>
      <c r="C35" s="97" t="s">
        <v>686</v>
      </c>
      <c r="D35" s="42" t="s">
        <v>159</v>
      </c>
      <c r="E35" s="97" t="s">
        <v>106</v>
      </c>
      <c r="F35" s="97" t="s">
        <v>676</v>
      </c>
      <c r="G35" s="59" t="s">
        <v>159</v>
      </c>
    </row>
    <row r="36">
      <c r="A36" s="97" t="s">
        <v>792</v>
      </c>
      <c r="B36" s="116" t="s">
        <v>411</v>
      </c>
      <c r="C36" s="97" t="s">
        <v>691</v>
      </c>
      <c r="D36" s="97" t="s">
        <v>409</v>
      </c>
      <c r="E36" s="97" t="s">
        <v>409</v>
      </c>
      <c r="F36" s="97" t="s">
        <v>689</v>
      </c>
      <c r="G36" s="147" t="s">
        <v>409</v>
      </c>
    </row>
    <row r="37">
      <c r="A37" s="97" t="s">
        <v>792</v>
      </c>
      <c r="B37" s="116" t="s">
        <v>803</v>
      </c>
      <c r="C37" s="97" t="s">
        <v>691</v>
      </c>
      <c r="D37" s="97" t="s">
        <v>40</v>
      </c>
      <c r="E37" s="97" t="s">
        <v>41</v>
      </c>
      <c r="F37" s="97" t="s">
        <v>689</v>
      </c>
      <c r="G37" s="147" t="s">
        <v>409</v>
      </c>
      <c r="I37" s="119"/>
      <c r="J37" s="120"/>
      <c r="K37" s="120"/>
      <c r="L37" s="121"/>
      <c r="M37" s="120"/>
    </row>
    <row r="38">
      <c r="A38" s="97" t="s">
        <v>792</v>
      </c>
      <c r="B38" s="116" t="s">
        <v>512</v>
      </c>
      <c r="C38" s="97" t="s">
        <v>691</v>
      </c>
      <c r="D38" s="97" t="s">
        <v>40</v>
      </c>
      <c r="E38" s="42" t="s">
        <v>409</v>
      </c>
      <c r="F38" s="97" t="s">
        <v>676</v>
      </c>
      <c r="G38" s="59" t="s">
        <v>409</v>
      </c>
    </row>
    <row r="39">
      <c r="A39" s="97" t="s">
        <v>792</v>
      </c>
      <c r="B39" s="116" t="s">
        <v>804</v>
      </c>
      <c r="C39" s="97" t="s">
        <v>684</v>
      </c>
      <c r="D39" s="42" t="s">
        <v>40</v>
      </c>
      <c r="E39" s="97" t="s">
        <v>41</v>
      </c>
      <c r="F39" s="97" t="s">
        <v>676</v>
      </c>
      <c r="G39" s="101" t="s">
        <v>409</v>
      </c>
      <c r="I39" s="119"/>
      <c r="J39" s="119"/>
      <c r="K39" s="119"/>
      <c r="L39" s="119"/>
      <c r="M39" s="119"/>
    </row>
    <row r="40">
      <c r="A40" s="97" t="s">
        <v>792</v>
      </c>
      <c r="B40" s="116" t="s">
        <v>286</v>
      </c>
      <c r="C40" s="97" t="s">
        <v>684</v>
      </c>
      <c r="D40" s="42" t="s">
        <v>41</v>
      </c>
      <c r="E40" s="97" t="s">
        <v>40</v>
      </c>
      <c r="F40" s="97" t="s">
        <v>676</v>
      </c>
      <c r="G40" s="101" t="s">
        <v>409</v>
      </c>
      <c r="I40" s="117"/>
    </row>
    <row r="41">
      <c r="A41" s="97" t="s">
        <v>792</v>
      </c>
      <c r="B41" s="116" t="s">
        <v>590</v>
      </c>
      <c r="C41" s="97" t="s">
        <v>686</v>
      </c>
      <c r="D41" s="97" t="s">
        <v>96</v>
      </c>
      <c r="E41" s="42" t="s">
        <v>409</v>
      </c>
      <c r="F41" s="97" t="s">
        <v>676</v>
      </c>
      <c r="G41" s="97" t="s">
        <v>409</v>
      </c>
    </row>
    <row r="42">
      <c r="D42" s="97"/>
      <c r="I42" s="119"/>
      <c r="J42" s="121"/>
      <c r="K42" s="121"/>
      <c r="L42" s="121"/>
      <c r="M42" s="121"/>
    </row>
    <row r="43">
      <c r="D43" s="97"/>
      <c r="I43" s="119"/>
      <c r="J43" s="120"/>
      <c r="K43" s="120"/>
      <c r="L43" s="121"/>
      <c r="M43" s="120"/>
    </row>
    <row r="44">
      <c r="E44" s="97"/>
      <c r="I44" s="121"/>
    </row>
  </sheetData>
  <mergeCells count="2">
    <mergeCell ref="I5:L5"/>
    <mergeCell ref="J22:L22"/>
  </mergeCells>
  <conditionalFormatting sqref="F2:F990">
    <cfRule type="cellIs" dxfId="9" priority="1" operator="equal">
      <formula>"Experienced"</formula>
    </cfRule>
  </conditionalFormatting>
  <conditionalFormatting sqref="F2:F990">
    <cfRule type="cellIs" dxfId="10" priority="2" operator="equal">
      <formula>"Inexperienced"</formula>
    </cfRule>
  </conditionalFormatting>
  <conditionalFormatting sqref="G1 G8 G37 G42 G45:G990">
    <cfRule type="cellIs" dxfId="6" priority="3" operator="equal">
      <formula>"ADMIN"</formula>
    </cfRule>
  </conditionalFormatting>
  <drawing r:id="rId1"/>
</worksheet>
</file>